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esktop\AeroNU\FixedWing\BMS\bms-pcb-design\bms-kicad-project\"/>
    </mc:Choice>
  </mc:AlternateContent>
  <xr:revisionPtr revIDLastSave="0" documentId="13_ncr:9_{7FDB8F1C-00A9-4A8A-B3C3-27776FCADCB3}" xr6:coauthVersionLast="47" xr6:coauthVersionMax="47" xr10:uidLastSave="{00000000-0000-0000-0000-000000000000}"/>
  <bookViews>
    <workbookView xWindow="-110" yWindow="-110" windowWidth="25820" windowHeight="15500" activeTab="2" xr2:uid="{35BDE596-9039-44D2-85BA-580C4A96206A}"/>
  </bookViews>
  <sheets>
    <sheet name="bms-board-rev-A" sheetId="1" r:id="rId1"/>
    <sheet name="bms-board-rev-B" sheetId="4" r:id="rId2"/>
    <sheet name="bom-compare" sheetId="2" r:id="rId3"/>
  </sheets>
  <calcPr calcId="0"/>
</workbook>
</file>

<file path=xl/calcChain.xml><?xml version="1.0" encoding="utf-8"?>
<calcChain xmlns="http://schemas.openxmlformats.org/spreadsheetml/2006/main">
  <c r="I3" i="2" l="1" a="1"/>
  <c r="I3" i="2" s="1"/>
  <c r="J3" i="2" s="1"/>
  <c r="K3" i="2" s="1"/>
  <c r="R3" i="2" s="1"/>
  <c r="I4" i="2" a="1"/>
  <c r="I4" i="2" s="1"/>
  <c r="J4" i="2" s="1"/>
  <c r="K4" i="2" s="1"/>
  <c r="R4" i="2" s="1"/>
  <c r="I5" i="2" a="1"/>
  <c r="I5" i="2" s="1"/>
  <c r="J5" i="2" s="1"/>
  <c r="K5" i="2" s="1"/>
  <c r="R5" i="2" s="1"/>
  <c r="I6" i="2" a="1"/>
  <c r="I6" i="2" s="1"/>
  <c r="J6" i="2" s="1"/>
  <c r="K6" i="2" s="1"/>
  <c r="R6" i="2" s="1"/>
  <c r="I7" i="2" a="1"/>
  <c r="I7" i="2" s="1"/>
  <c r="J7" i="2" s="1"/>
  <c r="K7" i="2" s="1"/>
  <c r="R7" i="2" s="1"/>
  <c r="I8" i="2" a="1"/>
  <c r="I8" i="2" s="1"/>
  <c r="J8" i="2" s="1"/>
  <c r="K8" i="2" s="1"/>
  <c r="R8" i="2" s="1"/>
  <c r="I9" i="2" a="1"/>
  <c r="I9" i="2" s="1"/>
  <c r="J9" i="2" s="1"/>
  <c r="K9" i="2" s="1"/>
  <c r="R9" i="2" s="1"/>
  <c r="I10" i="2" a="1"/>
  <c r="I10" i="2" s="1"/>
  <c r="J10" i="2" s="1"/>
  <c r="K10" i="2" s="1"/>
  <c r="R10" i="2" s="1"/>
  <c r="I11" i="2" a="1"/>
  <c r="I11" i="2" s="1"/>
  <c r="J11" i="2" s="1"/>
  <c r="K11" i="2" s="1"/>
  <c r="R11" i="2" s="1"/>
  <c r="I12" i="2" a="1"/>
  <c r="I12" i="2" s="1"/>
  <c r="J12" i="2" s="1"/>
  <c r="K12" i="2" s="1"/>
  <c r="R12" i="2" s="1"/>
  <c r="I13" i="2" a="1"/>
  <c r="I13" i="2" s="1"/>
  <c r="J13" i="2" s="1"/>
  <c r="K13" i="2" s="1"/>
  <c r="R13" i="2" s="1"/>
  <c r="I14" i="2" a="1"/>
  <c r="I14" i="2" s="1"/>
  <c r="J14" i="2" s="1"/>
  <c r="K14" i="2" s="1"/>
  <c r="R14" i="2" s="1"/>
  <c r="I15" i="2" a="1"/>
  <c r="I15" i="2" s="1"/>
  <c r="J15" i="2" s="1"/>
  <c r="K15" i="2" s="1"/>
  <c r="R15" i="2" s="1"/>
  <c r="I16" i="2" a="1"/>
  <c r="I16" i="2" s="1"/>
  <c r="J16" i="2" s="1"/>
  <c r="K16" i="2" s="1"/>
  <c r="R16" i="2" s="1"/>
  <c r="I17" i="2" a="1"/>
  <c r="I17" i="2" s="1"/>
  <c r="J17" i="2" s="1"/>
  <c r="K17" i="2" s="1"/>
  <c r="R17" i="2" s="1"/>
  <c r="I18" i="2" a="1"/>
  <c r="I18" i="2" s="1"/>
  <c r="J18" i="2" s="1"/>
  <c r="K18" i="2" s="1"/>
  <c r="R18" i="2" s="1"/>
  <c r="I19" i="2" a="1"/>
  <c r="I19" i="2" s="1"/>
  <c r="J19" i="2" s="1"/>
  <c r="K19" i="2" s="1"/>
  <c r="R19" i="2" s="1"/>
  <c r="I20" i="2" a="1"/>
  <c r="I20" i="2" s="1"/>
  <c r="J20" i="2" s="1"/>
  <c r="K20" i="2" s="1"/>
  <c r="R20" i="2" s="1"/>
  <c r="I21" i="2" a="1"/>
  <c r="I21" i="2" s="1"/>
  <c r="J21" i="2" s="1"/>
  <c r="K21" i="2" s="1"/>
  <c r="R21" i="2" s="1"/>
  <c r="I22" i="2" a="1"/>
  <c r="I22" i="2" s="1"/>
  <c r="J22" i="2" s="1"/>
  <c r="K22" i="2" s="1"/>
  <c r="R22" i="2" s="1"/>
  <c r="I23" i="2" a="1"/>
  <c r="I23" i="2" s="1"/>
  <c r="J23" i="2" s="1"/>
  <c r="K23" i="2" s="1"/>
  <c r="R23" i="2" s="1"/>
  <c r="I24" i="2" a="1"/>
  <c r="I24" i="2" s="1"/>
  <c r="J24" i="2" s="1"/>
  <c r="K24" i="2" s="1"/>
  <c r="R24" i="2" s="1"/>
  <c r="I25" i="2" a="1"/>
  <c r="I25" i="2" s="1"/>
  <c r="J25" i="2" s="1"/>
  <c r="K25" i="2" s="1"/>
  <c r="R25" i="2" s="1"/>
  <c r="I26" i="2" a="1"/>
  <c r="I26" i="2" s="1"/>
  <c r="J26" i="2" s="1"/>
  <c r="K26" i="2" s="1"/>
  <c r="R26" i="2" s="1"/>
  <c r="I27" i="2" a="1"/>
  <c r="I27" i="2" s="1"/>
  <c r="J27" i="2" s="1"/>
  <c r="K27" i="2" s="1"/>
  <c r="R27" i="2" s="1"/>
  <c r="I28" i="2" a="1"/>
  <c r="I28" i="2" s="1"/>
  <c r="J28" i="2" s="1"/>
  <c r="K28" i="2" s="1"/>
  <c r="R28" i="2" s="1"/>
  <c r="I29" i="2" a="1"/>
  <c r="I29" i="2" s="1"/>
  <c r="J29" i="2" s="1"/>
  <c r="K29" i="2" s="1"/>
  <c r="R29" i="2" s="1"/>
  <c r="I30" i="2" a="1"/>
  <c r="I30" i="2" s="1"/>
  <c r="J30" i="2" s="1"/>
  <c r="K30" i="2" s="1"/>
  <c r="R30" i="2" s="1"/>
  <c r="I31" i="2" a="1"/>
  <c r="I31" i="2" s="1"/>
  <c r="J31" i="2" s="1"/>
  <c r="K31" i="2" s="1"/>
  <c r="R31" i="2" s="1"/>
  <c r="I32" i="2" a="1"/>
  <c r="I32" i="2" s="1"/>
  <c r="J32" i="2" s="1"/>
  <c r="K32" i="2" s="1"/>
  <c r="R32" i="2" s="1"/>
  <c r="I33" i="2" a="1"/>
  <c r="I33" i="2" s="1"/>
  <c r="J33" i="2" s="1"/>
  <c r="K33" i="2" s="1"/>
  <c r="R33" i="2" s="1"/>
  <c r="I34" i="2" a="1"/>
  <c r="I34" i="2" s="1"/>
  <c r="J34" i="2" s="1"/>
  <c r="K34" i="2" s="1"/>
  <c r="R34" i="2" s="1"/>
  <c r="I35" i="2" a="1"/>
  <c r="I35" i="2" s="1"/>
  <c r="J35" i="2" s="1"/>
  <c r="K35" i="2" s="1"/>
  <c r="R35" i="2" s="1"/>
  <c r="I36" i="2" a="1"/>
  <c r="I36" i="2" s="1"/>
  <c r="J36" i="2" s="1"/>
  <c r="K36" i="2" s="1"/>
  <c r="R36" i="2" s="1"/>
  <c r="I37" i="2" a="1"/>
  <c r="I37" i="2" s="1"/>
  <c r="J37" i="2" s="1"/>
  <c r="K37" i="2" s="1"/>
  <c r="R37" i="2" s="1"/>
  <c r="I38" i="2" a="1"/>
  <c r="I38" i="2" s="1"/>
  <c r="J38" i="2" s="1"/>
  <c r="K38" i="2" s="1"/>
  <c r="R38" i="2" s="1"/>
  <c r="I39" i="2" a="1"/>
  <c r="I39" i="2" s="1"/>
  <c r="J39" i="2" s="1"/>
  <c r="K39" i="2" s="1"/>
  <c r="R39" i="2" s="1"/>
  <c r="I40" i="2" a="1"/>
  <c r="I40" i="2" s="1"/>
  <c r="J40" i="2" s="1"/>
  <c r="K40" i="2" s="1"/>
  <c r="R40" i="2" s="1"/>
  <c r="I41" i="2" a="1"/>
  <c r="I41" i="2" s="1"/>
  <c r="J41" i="2" s="1"/>
  <c r="K41" i="2" s="1"/>
  <c r="R41" i="2" s="1"/>
  <c r="I42" i="2" a="1"/>
  <c r="I42" i="2" s="1"/>
  <c r="J42" i="2" s="1"/>
  <c r="K42" i="2" s="1"/>
  <c r="R42" i="2" s="1"/>
  <c r="I43" i="2" a="1"/>
  <c r="I43" i="2" s="1"/>
  <c r="J43" i="2" s="1"/>
  <c r="K43" i="2" s="1"/>
  <c r="R43" i="2" s="1"/>
  <c r="I44" i="2" a="1"/>
  <c r="I44" i="2" s="1"/>
  <c r="J44" i="2" s="1"/>
  <c r="K44" i="2" s="1"/>
  <c r="R44" i="2" s="1"/>
  <c r="I45" i="2" a="1"/>
  <c r="I45" i="2" s="1"/>
  <c r="J45" i="2" s="1"/>
  <c r="K45" i="2" s="1"/>
  <c r="R45" i="2" s="1"/>
  <c r="I46" i="2" a="1"/>
  <c r="I46" i="2" s="1"/>
  <c r="J46" i="2" s="1"/>
  <c r="K46" i="2" s="1"/>
  <c r="R46" i="2" s="1"/>
  <c r="I47" i="2" a="1"/>
  <c r="I47" i="2" s="1"/>
  <c r="J47" i="2" s="1"/>
  <c r="K47" i="2" s="1"/>
  <c r="R47" i="2" s="1"/>
  <c r="I48" i="2" a="1"/>
  <c r="I48" i="2" s="1"/>
  <c r="J48" i="2" s="1"/>
  <c r="K48" i="2" s="1"/>
  <c r="R48" i="2" s="1"/>
  <c r="I49" i="2" a="1"/>
  <c r="I49" i="2" s="1"/>
  <c r="J49" i="2" s="1"/>
  <c r="K49" i="2" s="1"/>
  <c r="R49" i="2" s="1"/>
  <c r="I50" i="2" a="1"/>
  <c r="I50" i="2" s="1"/>
  <c r="J50" i="2" s="1"/>
  <c r="K50" i="2" s="1"/>
  <c r="R50" i="2" s="1"/>
  <c r="I51" i="2" a="1"/>
  <c r="I51" i="2" s="1"/>
  <c r="J51" i="2" s="1"/>
  <c r="K51" i="2" s="1"/>
  <c r="R51" i="2" s="1"/>
  <c r="I52" i="2" a="1"/>
  <c r="I52" i="2" s="1"/>
  <c r="J52" i="2" s="1"/>
  <c r="K52" i="2" s="1"/>
  <c r="R52" i="2" s="1"/>
  <c r="I53" i="2" a="1"/>
  <c r="I53" i="2" s="1"/>
  <c r="J53" i="2" s="1"/>
  <c r="K53" i="2" s="1"/>
  <c r="R53" i="2" s="1"/>
  <c r="I54" i="2" a="1"/>
  <c r="I54" i="2" s="1"/>
  <c r="J54" i="2" s="1"/>
  <c r="K54" i="2" s="1"/>
  <c r="R54" i="2" s="1"/>
  <c r="I55" i="2" a="1"/>
  <c r="I55" i="2" s="1"/>
  <c r="J55" i="2" s="1"/>
  <c r="K55" i="2" s="1"/>
  <c r="R55" i="2" s="1"/>
  <c r="I56" i="2" a="1"/>
  <c r="I56" i="2" s="1"/>
  <c r="J56" i="2" s="1"/>
  <c r="K56" i="2" s="1"/>
  <c r="R56" i="2" s="1"/>
  <c r="I57" i="2" a="1"/>
  <c r="I57" i="2" s="1"/>
  <c r="J57" i="2" s="1"/>
  <c r="K57" i="2" s="1"/>
  <c r="R57" i="2" s="1"/>
  <c r="I58" i="2" a="1"/>
  <c r="I58" i="2" s="1"/>
  <c r="J58" i="2" s="1"/>
  <c r="K58" i="2" s="1"/>
  <c r="R58" i="2" s="1"/>
  <c r="I59" i="2" a="1"/>
  <c r="I59" i="2" s="1"/>
  <c r="J59" i="2" s="1"/>
  <c r="K59" i="2" s="1"/>
  <c r="R59" i="2" s="1"/>
  <c r="I60" i="2" a="1"/>
  <c r="I60" i="2" s="1"/>
  <c r="J60" i="2" s="1"/>
  <c r="K60" i="2" s="1"/>
  <c r="R60" i="2" s="1"/>
  <c r="I61" i="2" a="1"/>
  <c r="I61" i="2" s="1"/>
  <c r="J61" i="2" s="1"/>
  <c r="K61" i="2" s="1"/>
  <c r="R61" i="2" s="1"/>
  <c r="I62" i="2" a="1"/>
  <c r="I62" i="2" s="1"/>
  <c r="J62" i="2" s="1"/>
  <c r="K62" i="2" s="1"/>
  <c r="R62" i="2" s="1"/>
  <c r="I63" i="2" a="1"/>
  <c r="I63" i="2" s="1"/>
  <c r="J63" i="2" s="1"/>
  <c r="K63" i="2" s="1"/>
  <c r="R63" i="2" s="1"/>
  <c r="I64" i="2" a="1"/>
  <c r="I64" i="2" s="1"/>
  <c r="J64" i="2" s="1"/>
  <c r="K64" i="2" s="1"/>
  <c r="R64" i="2" s="1"/>
  <c r="I65" i="2" a="1"/>
  <c r="I65" i="2" s="1"/>
  <c r="J65" i="2" s="1"/>
  <c r="K65" i="2" s="1"/>
  <c r="R65" i="2" s="1"/>
  <c r="I66" i="2" a="1"/>
  <c r="I66" i="2" s="1"/>
  <c r="J66" i="2" s="1"/>
  <c r="K66" i="2" s="1"/>
  <c r="R66" i="2" s="1"/>
  <c r="I67" i="2" a="1"/>
  <c r="I67" i="2" s="1"/>
  <c r="J67" i="2" s="1"/>
  <c r="K67" i="2" s="1"/>
  <c r="R67" i="2" s="1"/>
  <c r="I68" i="2" a="1"/>
  <c r="I68" i="2" s="1"/>
  <c r="J68" i="2" s="1"/>
  <c r="K68" i="2" s="1"/>
  <c r="R68" i="2" s="1"/>
  <c r="I69" i="2" a="1"/>
  <c r="I69" i="2" s="1"/>
  <c r="J69" i="2" s="1"/>
  <c r="K69" i="2" s="1"/>
  <c r="R69" i="2" s="1"/>
  <c r="I70" i="2" a="1"/>
  <c r="I70" i="2" s="1"/>
  <c r="J70" i="2" s="1"/>
  <c r="K70" i="2" s="1"/>
  <c r="R70" i="2" s="1"/>
  <c r="I71" i="2" a="1"/>
  <c r="I71" i="2" s="1"/>
  <c r="J71" i="2" s="1"/>
  <c r="K71" i="2" s="1"/>
  <c r="R71" i="2" s="1"/>
  <c r="I72" i="2" a="1"/>
  <c r="I72" i="2" s="1"/>
  <c r="J72" i="2" s="1"/>
  <c r="K72" i="2" s="1"/>
  <c r="R72" i="2" s="1"/>
  <c r="I73" i="2" a="1"/>
  <c r="I73" i="2" s="1"/>
  <c r="J73" i="2" s="1"/>
  <c r="K73" i="2" s="1"/>
  <c r="R73" i="2" s="1"/>
  <c r="I74" i="2" a="1"/>
  <c r="I74" i="2" s="1"/>
  <c r="J74" i="2" s="1"/>
  <c r="K74" i="2" s="1"/>
  <c r="R74" i="2" s="1"/>
  <c r="I75" i="2" a="1"/>
  <c r="I75" i="2" s="1"/>
  <c r="J75" i="2" s="1"/>
  <c r="K75" i="2" s="1"/>
  <c r="R75" i="2" s="1"/>
  <c r="I76" i="2" a="1"/>
  <c r="I76" i="2" s="1"/>
  <c r="J76" i="2" s="1"/>
  <c r="K76" i="2" s="1"/>
  <c r="R76" i="2" s="1"/>
  <c r="I77" i="2" a="1"/>
  <c r="I77" i="2" s="1"/>
  <c r="J77" i="2" s="1"/>
  <c r="K77" i="2" s="1"/>
  <c r="R77" i="2" s="1"/>
  <c r="I78" i="2" a="1"/>
  <c r="I78" i="2" s="1"/>
  <c r="J78" i="2" s="1"/>
  <c r="K78" i="2" s="1"/>
  <c r="R78" i="2" s="1"/>
  <c r="I79" i="2" a="1"/>
  <c r="I79" i="2" s="1"/>
  <c r="J79" i="2" s="1"/>
  <c r="K79" i="2" s="1"/>
  <c r="R79" i="2" s="1"/>
  <c r="I80" i="2" a="1"/>
  <c r="I80" i="2" s="1"/>
  <c r="J80" i="2" s="1"/>
  <c r="K80" i="2" s="1"/>
  <c r="R80" i="2" s="1"/>
  <c r="I81" i="2" a="1"/>
  <c r="I81" i="2" s="1"/>
  <c r="J81" i="2" s="1"/>
  <c r="K81" i="2" s="1"/>
  <c r="R81" i="2" s="1"/>
  <c r="I2" i="2" a="1"/>
  <c r="I2" i="2" s="1"/>
  <c r="J2" i="2" s="1"/>
  <c r="K2" i="2" s="1"/>
  <c r="R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<sst xmlns="http://schemas.openxmlformats.org/spreadsheetml/2006/main" count="1301" uniqueCount="318">
  <si>
    <t>#</t>
  </si>
  <si>
    <t>Reference</t>
  </si>
  <si>
    <t>Qty</t>
  </si>
  <si>
    <t>Value</t>
  </si>
  <si>
    <t>Footprint</t>
  </si>
  <si>
    <t>DNP</t>
  </si>
  <si>
    <t>Manufacturer Part Number</t>
  </si>
  <si>
    <t>Manufacturer</t>
  </si>
  <si>
    <t>BB1</t>
  </si>
  <si>
    <t>Busbar</t>
  </si>
  <si>
    <t>FixedWing:BUSBAR_SHORT</t>
  </si>
  <si>
    <t>T2 Copper</t>
  </si>
  <si>
    <t>PATIKIL</t>
  </si>
  <si>
    <t>BB2</t>
  </si>
  <si>
    <t>FixedWing:BUSBAR_LONG</t>
  </si>
  <si>
    <t>C1, C2, C3, C4, C5, C6, C7, C8, C9, C10, C11, C12, C13, C15, C18, C19, C21, C34, C35, C41, C43, C61, C64, C65, C67, C68, C69, C71, C72, C73, C74, C75, C76, C78, C80, C82, C83, C84, C85</t>
  </si>
  <si>
    <t>0.1Âµ</t>
  </si>
  <si>
    <t>FixedWing:CAP_GCJ-18_MUR</t>
  </si>
  <si>
    <t>GCJ188R72A104KA01D</t>
  </si>
  <si>
    <t>Murata Electronics</t>
  </si>
  <si>
    <t>C14, C37, C66, C70, C77, C79, C87</t>
  </si>
  <si>
    <t>1Âµ</t>
  </si>
  <si>
    <t>FixedWing:CAPC1608X90N</t>
  </si>
  <si>
    <t>GCM188R71C105KA64D</t>
  </si>
  <si>
    <t>C16, C30, C31, C32</t>
  </si>
  <si>
    <t>FixedWing:CAP_CL31_SAM</t>
  </si>
  <si>
    <t>CL31B105KCHNNNE</t>
  </si>
  <si>
    <t>Samsung Electro-Mechanics</t>
  </si>
  <si>
    <t>C17, C20, C33</t>
  </si>
  <si>
    <t>100p</t>
  </si>
  <si>
    <t>FixedWing:CAPC220145_88N_KEM</t>
  </si>
  <si>
    <t>C0805C101J1GACTU</t>
  </si>
  <si>
    <t>KEMET</t>
  </si>
  <si>
    <t>C22, C39, C62, C63</t>
  </si>
  <si>
    <t>4.7Âµ</t>
  </si>
  <si>
    <t>FixedWing:CAPC2012X145N</t>
  </si>
  <si>
    <t>GCM21BC71E475KE36L</t>
  </si>
  <si>
    <t>C23, C24, C25, C26, C27, C28, C40</t>
  </si>
  <si>
    <t>3.9n</t>
  </si>
  <si>
    <t>FixedWing:G-21_MUR</t>
  </si>
  <si>
    <t>GRM2165C1H392JA01D</t>
  </si>
  <si>
    <t>C29</t>
  </si>
  <si>
    <t>220Âµ</t>
  </si>
  <si>
    <t>FixedWing:CAPPRD500W60D1000H2500</t>
  </si>
  <si>
    <t>80ZLH220MEFC10X23</t>
  </si>
  <si>
    <t>Rubycon</t>
  </si>
  <si>
    <t>C36</t>
  </si>
  <si>
    <t>560p</t>
  </si>
  <si>
    <t>FixedWing:CAP_CC0805_YAG</t>
  </si>
  <si>
    <t>CC0805JRNPO9BN561</t>
  </si>
  <si>
    <t>YAGEO</t>
  </si>
  <si>
    <t>C38</t>
  </si>
  <si>
    <t>33n</t>
  </si>
  <si>
    <t>FixedWing:CAPC2012X94N</t>
  </si>
  <si>
    <t>KGM21NR71E333KT</t>
  </si>
  <si>
    <t>KYOCERA AVX</t>
  </si>
  <si>
    <t>C42</t>
  </si>
  <si>
    <t>1.5n</t>
  </si>
  <si>
    <t>GRM2165C1H152JA01D</t>
  </si>
  <si>
    <t>C44, C45, C46, C47, C48, C49, C50, C51, C52, C53, C54, C55, C56, C57, C58</t>
  </si>
  <si>
    <t>47Âµ</t>
  </si>
  <si>
    <t>FixedWing:G-32_MUR</t>
  </si>
  <si>
    <t>GRM32ER71A476KE15L</t>
  </si>
  <si>
    <t>C59, C60</t>
  </si>
  <si>
    <t>15p</t>
  </si>
  <si>
    <t>FixedWing:CAPC2012X70</t>
  </si>
  <si>
    <t>CC0805JPNPO9BN150</t>
  </si>
  <si>
    <t>C81, C86</t>
  </si>
  <si>
    <t>10Âµ</t>
  </si>
  <si>
    <t>FixedWing:CAP_CL21B106KOQNNNE_SAM</t>
  </si>
  <si>
    <t>CL21B106KOQNNNE</t>
  </si>
  <si>
    <t>CR1, CR2, CR3</t>
  </si>
  <si>
    <t>USBLC6-2SC6</t>
  </si>
  <si>
    <t>FixedWing:SOT23-6L_STM</t>
  </si>
  <si>
    <t>STMicroelectronics</t>
  </si>
  <si>
    <t>D1, D2, D3, D4</t>
  </si>
  <si>
    <t>100V</t>
  </si>
  <si>
    <t>FixedWing:D_SOD-123</t>
  </si>
  <si>
    <t>BAS100AS_R1_00001</t>
  </si>
  <si>
    <t>Panjit International Inc.</t>
  </si>
  <si>
    <t>H1, H2, H3, H4, H5, H6, H7</t>
  </si>
  <si>
    <t>MountingHole_Pad</t>
  </si>
  <si>
    <t>MountingHole:MountingHole_3.2mm_M3_ISO14580_Pad</t>
  </si>
  <si>
    <t>J1</t>
  </si>
  <si>
    <t>S13B-XH-A</t>
  </si>
  <si>
    <t>FixedWing:S13BXHALFSN</t>
  </si>
  <si>
    <t>JST (JAPAN SOLDERLESS TERMINALS)</t>
  </si>
  <si>
    <t>J2</t>
  </si>
  <si>
    <t>FixedWing:CONN_SD-105314-100_08_MOL</t>
  </si>
  <si>
    <t>Molex</t>
  </si>
  <si>
    <t>J3</t>
  </si>
  <si>
    <t>12402012E212A</t>
  </si>
  <si>
    <t>FixedWing:AMPHENOL_12402012E212A</t>
  </si>
  <si>
    <t>Amphenol</t>
  </si>
  <si>
    <t>J4</t>
  </si>
  <si>
    <t>Conn_01x03</t>
  </si>
  <si>
    <t>Connector_PinHeader_2.54mm:PinHeader_1x03_P2.54mm_Vertical</t>
  </si>
  <si>
    <t>J5</t>
  </si>
  <si>
    <t>Conn_02x04_Odd_Even</t>
  </si>
  <si>
    <t>Connector_PinHeader_2.54mm:PinHeader_2x04_P2.54mm_Vertical</t>
  </si>
  <si>
    <t>J6, J8, J9, J10</t>
  </si>
  <si>
    <t>XT60PW-F</t>
  </si>
  <si>
    <t>FixedWing:XT60PWF</t>
  </si>
  <si>
    <t>Amass</t>
  </si>
  <si>
    <t>J7</t>
  </si>
  <si>
    <t>XT60PW-M</t>
  </si>
  <si>
    <t>FixedWing:XT60PWM_Pad</t>
  </si>
  <si>
    <t>Changzou Amass Elec</t>
  </si>
  <si>
    <t>J11</t>
  </si>
  <si>
    <t>FixedWing:105313YY03</t>
  </si>
  <si>
    <t>J12</t>
  </si>
  <si>
    <t>FixedWing:XT60PWF_Pad</t>
  </si>
  <si>
    <t>J13</t>
  </si>
  <si>
    <t>FixedWing:5024940670</t>
  </si>
  <si>
    <t>J14, J15, J16, J17</t>
  </si>
  <si>
    <t>FixedWing:105313YY02</t>
  </si>
  <si>
    <t>J18</t>
  </si>
  <si>
    <t>SM06B-GHS-TB</t>
  </si>
  <si>
    <t>FixedWing:SM06B-GHS-TB</t>
  </si>
  <si>
    <t>SM06B-GHS-TB(LF)(SN)</t>
  </si>
  <si>
    <t>L1</t>
  </si>
  <si>
    <t>5.6u</t>
  </si>
  <si>
    <t>FixedWing:IND_IHLP-6767GZ_VIS</t>
  </si>
  <si>
    <t>IHLP6767GZER5R6M01</t>
  </si>
  <si>
    <t>Vishay Dale</t>
  </si>
  <si>
    <t>LED1, LED2, LED3, LED4, LED5, LED6, LED7, LED8, LED9, LED10, LED11, LED12</t>
  </si>
  <si>
    <t>LTST-C170KRKT</t>
  </si>
  <si>
    <t>LEDC2012X120N</t>
  </si>
  <si>
    <t>Lite-On</t>
  </si>
  <si>
    <t>LED13, LED14, LED15</t>
  </si>
  <si>
    <t>LTST-C170KGKT</t>
  </si>
  <si>
    <t>FixedWing:LED_LTST-C170KGKT_LTO</t>
  </si>
  <si>
    <t>Lite-On Inc.</t>
  </si>
  <si>
    <t>LED16</t>
  </si>
  <si>
    <t>COM-16347</t>
  </si>
  <si>
    <t>FixedWing:COM-16347_SPK</t>
  </si>
  <si>
    <t>SparkFun Electronics</t>
  </si>
  <si>
    <t>Q1, Q2, Q3, Q4, Q5, Q6, Q7, Q8, Q9, Q10, Q11, Q12, Q14</t>
  </si>
  <si>
    <t>DNBT8105-7</t>
  </si>
  <si>
    <t>FixedWing:SOT95P240X105-3N</t>
  </si>
  <si>
    <t>Diodes Incorporated</t>
  </si>
  <si>
    <t>Q13</t>
  </si>
  <si>
    <t>BSS308PE_H6327</t>
  </si>
  <si>
    <t>SOT95P260X110-3N</t>
  </si>
  <si>
    <t>BSS308PE H6327</t>
  </si>
  <si>
    <t>Infineon</t>
  </si>
  <si>
    <t>R1, R6, R11, R16, R21, R26, R31, R36, R41, R46, R51, R56, R61, R82, R92, R95, R135, R136</t>
  </si>
  <si>
    <t>RESC2012X50N</t>
  </si>
  <si>
    <t>CRCW0805100RFKEA</t>
  </si>
  <si>
    <t>Vishay</t>
  </si>
  <si>
    <t>R2, R7, R12, R17, R22, R27, R32, R37, R42, R47, R52, R57, R120, R121</t>
  </si>
  <si>
    <t>FixedWing:RC0805N_YAG</t>
  </si>
  <si>
    <t>RC0805FR-0727RL</t>
  </si>
  <si>
    <t>R3, R4, R8, R9, R13, R14, R18, R19, R23, R24, R28, R29, R33, R34, R38, R39, R43, R44, R48, R49, R53, R54, R58, R59</t>
  </si>
  <si>
    <t>FixedWing:RES_R1632_ROM</t>
  </si>
  <si>
    <t>LTR18EZPF15R0</t>
  </si>
  <si>
    <t>Rohm Semiconductor</t>
  </si>
  <si>
    <t>R5, R10, R15, R20, R25, R30, R35, R40, R45, R50, R55, R60, R124, R128, R134</t>
  </si>
  <si>
    <t>CRCW0805475RFKEA</t>
  </si>
  <si>
    <t>R62, R65, R67, R70, R93, R109, R116, R118, R119, R123</t>
  </si>
  <si>
    <t>10k</t>
  </si>
  <si>
    <t>FixedWing:KOA_Speer-RK73H2A-0-0-MFG</t>
  </si>
  <si>
    <t>RK73H2ATTD1002F</t>
  </si>
  <si>
    <t>KOA Speer</t>
  </si>
  <si>
    <t>R63, R64, R68</t>
  </si>
  <si>
    <t>R66, R79, R80, R81, R83, R84, R85, R86, R87, R88, R104</t>
  </si>
  <si>
    <t>FixedWing:RES_CRCW_0805_VIS</t>
  </si>
  <si>
    <t>CRCW08050000Z0EA</t>
  </si>
  <si>
    <t>R71, R72, R73, R74, R75, R76, R77, R78, R89, R90, R91</t>
  </si>
  <si>
    <t>R94</t>
  </si>
  <si>
    <t>1m</t>
  </si>
  <si>
    <t>FixedWing:RES_5930R</t>
  </si>
  <si>
    <t>SEWF5930F1L00P9</t>
  </si>
  <si>
    <t>RESI</t>
  </si>
  <si>
    <t>R96, R102, R105, R115, R117, R122, R137, R138</t>
  </si>
  <si>
    <t>1k</t>
  </si>
  <si>
    <t>RC0805FR-071KL</t>
  </si>
  <si>
    <t>R97</t>
  </si>
  <si>
    <t>562k</t>
  </si>
  <si>
    <t>FixedWing:RESC2012X60N</t>
  </si>
  <si>
    <t>RC0805FR-07562KL</t>
  </si>
  <si>
    <t>R98, R99</t>
  </si>
  <si>
    <t>100k</t>
  </si>
  <si>
    <t>RC0805FR-07100KL</t>
  </si>
  <si>
    <t>R100</t>
  </si>
  <si>
    <t>523k</t>
  </si>
  <si>
    <t>RC0805FR-07523KL</t>
  </si>
  <si>
    <t>R101, R106</t>
  </si>
  <si>
    <t>93.1k</t>
  </si>
  <si>
    <t>RC0805FR-0793K1L</t>
  </si>
  <si>
    <t>R103</t>
  </si>
  <si>
    <t>41.2k</t>
  </si>
  <si>
    <t>FixedWing:RC0805N_VIS</t>
  </si>
  <si>
    <t>CRCW080541K2FKEA</t>
  </si>
  <si>
    <t>R107</t>
  </si>
  <si>
    <t>FixedWing:RESC1608X55N</t>
  </si>
  <si>
    <t>RK73H1JTTD3R30F</t>
  </si>
  <si>
    <t>KOA Speer Electronics, Inc.</t>
  </si>
  <si>
    <t>R108, R112, R113, R114, R125, R126, R129, R130, R131, R132</t>
  </si>
  <si>
    <t>5.1k</t>
  </si>
  <si>
    <t>RC0805JR-075K1L</t>
  </si>
  <si>
    <t>R110</t>
  </si>
  <si>
    <t>11.5k</t>
  </si>
  <si>
    <t>RC0805FR-0711K5L</t>
  </si>
  <si>
    <t>R111</t>
  </si>
  <si>
    <t>56.2k</t>
  </si>
  <si>
    <t>RC0805FR-0756K2L</t>
  </si>
  <si>
    <t>R127, R133</t>
  </si>
  <si>
    <t>8.16k</t>
  </si>
  <si>
    <t>RT0805BRD078K16L</t>
  </si>
  <si>
    <t>SW1, SW2</t>
  </si>
  <si>
    <t>KMR223G LFG</t>
  </si>
  <si>
    <t>FixedWing:KMR2_G_CNK</t>
  </si>
  <si>
    <t>KMR223GLFG</t>
  </si>
  <si>
    <t>C&amp;K</t>
  </si>
  <si>
    <t>TP2, TP3, TP4</t>
  </si>
  <si>
    <t>FixedWing:KEYSTONE_5261</t>
  </si>
  <si>
    <t>Keystone</t>
  </si>
  <si>
    <t>TP5, TP6, TP7, TP8, TP9, TP10, TP11, TP12, TP13, TP14, TP15, TP16, TP17, TP18, TP19, TP20, TP21, TP22, TP23, TP24, TP25</t>
  </si>
  <si>
    <t>~</t>
  </si>
  <si>
    <t>TestPoint:TestPoint_Pad_D1.0mm</t>
  </si>
  <si>
    <t>U1</t>
  </si>
  <si>
    <t>TMUX7208PWR</t>
  </si>
  <si>
    <t>FixedWing:TSSOP16-PW_TEX</t>
  </si>
  <si>
    <t>Texas Instruments</t>
  </si>
  <si>
    <t>U2</t>
  </si>
  <si>
    <t>BQ7697204PFBR</t>
  </si>
  <si>
    <t>QFP50P900X900X120-48N</t>
  </si>
  <si>
    <t>U3</t>
  </si>
  <si>
    <t>SIC461ED-T1-GE3</t>
  </si>
  <si>
    <t>FixedWing:CONV_SIC461ED-T1-GE3</t>
  </si>
  <si>
    <t>Vishay Siliconix</t>
  </si>
  <si>
    <t>U4</t>
  </si>
  <si>
    <t>W25Q128JVSIQ TR</t>
  </si>
  <si>
    <t>FixedWing:SOIC_208MIL_WIN</t>
  </si>
  <si>
    <t>Winbond Electronics</t>
  </si>
  <si>
    <t>U5</t>
  </si>
  <si>
    <t>AP2114H-3.3TRG1</t>
  </si>
  <si>
    <t>FixedWing:SOT223-3_ONS</t>
  </si>
  <si>
    <t>U6</t>
  </si>
  <si>
    <t>RP2040</t>
  </si>
  <si>
    <t>FixedWing:RP2040-QFN-56</t>
  </si>
  <si>
    <t>SC0914(13)</t>
  </si>
  <si>
    <t>Raspberry Pi</t>
  </si>
  <si>
    <t>U7</t>
  </si>
  <si>
    <t>LM4040D30IDBZR</t>
  </si>
  <si>
    <t>FixedWing:DBZ3_TEX</t>
  </si>
  <si>
    <t>U8</t>
  </si>
  <si>
    <t>MCP4726A0T-E/CH</t>
  </si>
  <si>
    <t>FixedWing:SOT-23-6_MC_MCH</t>
  </si>
  <si>
    <t>Microchip Technology</t>
  </si>
  <si>
    <t>U9</t>
  </si>
  <si>
    <t>MCP9700AT-E/TT</t>
  </si>
  <si>
    <t>FixedWing:SOT-23_MC_MCH</t>
  </si>
  <si>
    <t>X1</t>
  </si>
  <si>
    <t>ABM8-272-T3</t>
  </si>
  <si>
    <t>FixedWing:ABM8-272-T3_ABR</t>
  </si>
  <si>
    <t>Abracon LLC</t>
  </si>
  <si>
    <t>X2</t>
  </si>
  <si>
    <t>PKMCS0909E4000-R1</t>
  </si>
  <si>
    <t>FixedWing:PKMCS0909E4000-R1_MUR</t>
  </si>
  <si>
    <t>Z1, Z2, Z3, Z4, Z5, Z6, Z7, Z8, Z9, Z10, Z11, Z12</t>
  </si>
  <si>
    <t>BZT52C5V6T-7</t>
  </si>
  <si>
    <t>FixedWing:BZT52C5V6T7</t>
  </si>
  <si>
    <t>BCP5616TA</t>
  </si>
  <si>
    <t>FixedWing:SOT-223_DIO</t>
  </si>
  <si>
    <t>U13</t>
  </si>
  <si>
    <t>LM66100DCKR</t>
  </si>
  <si>
    <t>FixedWing:DCK6_TEX</t>
  </si>
  <si>
    <t>U11, U12</t>
  </si>
  <si>
    <t>74LVC1T45W6-7</t>
  </si>
  <si>
    <t>FixedWing:SOT26-6_DIO</t>
  </si>
  <si>
    <t>U10</t>
  </si>
  <si>
    <t>TP2, TP3</t>
  </si>
  <si>
    <t>PTS810SJG250SMTR LFS</t>
  </si>
  <si>
    <t>FixedWing:PTS810</t>
  </si>
  <si>
    <t>PTS810SJG250SMTRLFS</t>
  </si>
  <si>
    <t>LTR18EZPJ301</t>
  </si>
  <si>
    <t>R143</t>
  </si>
  <si>
    <t>RC0805FR-0754K9L</t>
  </si>
  <si>
    <t>54.9k</t>
  </si>
  <si>
    <t>RC0805FR-0711K3L</t>
  </si>
  <si>
    <t>11.3k</t>
  </si>
  <si>
    <t>R108, R112, R113, R114, R116, R125, R126, R129, R130, R131, R132</t>
  </si>
  <si>
    <t>RC0805FR-0790K9L</t>
  </si>
  <si>
    <t>90.9k</t>
  </si>
  <si>
    <t>R106</t>
  </si>
  <si>
    <t>R101</t>
  </si>
  <si>
    <t>R96, R102, R105, R115, R117, R137, R138</t>
  </si>
  <si>
    <t>R66, R79, R80, R81, R83, R84, R85, R86, R87, R88, R104, R141</t>
  </si>
  <si>
    <t>R62, R65, R67, R70, R93, R109, R118, R119, R122, R123, R139, R140</t>
  </si>
  <si>
    <t>R1, R6, R11, R16, R21, R26, R31, R36, R41, R46, R51, R56, R61, R82, R92, R95, R135, R136, R142</t>
  </si>
  <si>
    <t>Q15, Q16</t>
  </si>
  <si>
    <t>LED13, LED14, LED15, LED17</t>
  </si>
  <si>
    <t>Kyocera AVX</t>
  </si>
  <si>
    <t>GG0603052R542P</t>
  </si>
  <si>
    <t>FixedWing:DIONC1608X70N</t>
  </si>
  <si>
    <t>D7, D10, D11, D12, D13, D14, D15, D16</t>
  </si>
  <si>
    <t>GG060303100N2P</t>
  </si>
  <si>
    <t>D5, D6, D8, D9</t>
  </si>
  <si>
    <t>D1, D3, D4, D17, D18, D19</t>
  </si>
  <si>
    <t>CR1</t>
  </si>
  <si>
    <t>AC0805JRX7R0BB223</t>
  </si>
  <si>
    <t>FixedWing:CAPC2012X95N</t>
  </si>
  <si>
    <t>22n</t>
  </si>
  <si>
    <t>C89</t>
  </si>
  <si>
    <t>C88</t>
  </si>
  <si>
    <t>C80, C81, C86</t>
  </si>
  <si>
    <t>AEK1216221M080R</t>
  </si>
  <si>
    <t>FixedWing:CAPAE1300X1650N</t>
  </si>
  <si>
    <t>220uF</t>
  </si>
  <si>
    <t>C16, C30, C31, C32, C94</t>
  </si>
  <si>
    <t>C1, C2, C3, C4, C5, C6, C7, C8, C9, C10, C11, C12, C13, C15, C18, C19, C21, C34, C35, C41, C43, C61, C64, C65, C67, C68, C69, C71, C72, C73, C74, C75, C76, C78, C82, C83, C84, C85, C95, C96</t>
  </si>
  <si>
    <t>Same Part?</t>
  </si>
  <si>
    <t>C14, C37, C66, C70, C77, C79, C87, C90, C91, C92, C93</t>
  </si>
  <si>
    <t>Qty More</t>
  </si>
  <si>
    <t>Qty More Times 10</t>
  </si>
  <si>
    <t>To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</si>
</sst>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4B90D-8557-4389-8DB0-541E8CAC432A}" name="Table1" displayName="Table1" ref="A1:G81" totalsRowShown="0" headerRowBorderDxfId="9" tableBorderDxfId="10" totalsRowBorderDxfId="8">
  <autoFilter ref="A1:G81" xr:uid="{F914B90D-8557-4389-8DB0-541E8CAC432A}"/>
  <tableColumns count="7">
    <tableColumn id="1" xr3:uid="{093CE667-FCB0-4745-8DFD-83509A8C674D}" name="#" dataDxfId="7"/>
    <tableColumn id="2" xr3:uid="{50F3EE84-F5B3-4409-B525-FF3EB9B58E7E}" name="Reference" dataDxfId="6"/>
    <tableColumn id="3" xr3:uid="{987849D8-EC2A-4A4A-BF0A-601688DCE1B8}" name="Qty" dataDxfId="5"/>
    <tableColumn id="4" xr3:uid="{821A358A-D079-42E5-9C17-3E5827F29E66}" name="Value" dataDxfId="4"/>
    <tableColumn id="5" xr3:uid="{3003BE03-8980-4DA0-A83B-C3D0024F4269}" name="DNP" dataDxfId="3"/>
    <tableColumn id="6" xr3:uid="{79F73414-83E0-4984-BDDF-AD5C262BE7D9}" name="Manufacturer Part Number" dataDxfId="2"/>
    <tableColumn id="7" xr3:uid="{9ABB25F6-91B0-4389-913A-2A679E655305}" name="Manufacturer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158324-2FA1-4CD1-B0FD-61BB130096BF}" name="Table3" displayName="Table3" ref="M1:T81" totalsRowShown="0">
  <autoFilter ref="M1:T81" xr:uid="{F1158324-2FA1-4CD1-B0FD-61BB130096BF}"/>
  <tableColumns count="8">
    <tableColumn id="1" xr3:uid="{72D1B99A-A8A9-4B86-939E-686EEAF0FEC2}" name="#"/>
    <tableColumn id="2" xr3:uid="{CD804861-520D-4F49-9092-49AFF756EE5C}" name="Reference"/>
    <tableColumn id="3" xr3:uid="{1AA4A868-1A6E-4F8D-BDCF-AEFC8E9D6246}" name="Qty"/>
    <tableColumn id="4" xr3:uid="{D9E4F9CF-4E09-4E39-AADE-FA5BB39D86BB}" name="Value"/>
    <tableColumn id="6" xr3:uid="{96A984F8-A406-4445-BB18-F98A16D73907}" name="DNP"/>
    <tableColumn id="9" xr3:uid="{817DA1F3-CB05-40FA-9649-F4ED5AFC11E9}" name="To Buy" dataDxfId="0">
      <calculatedColumnFormula>K2</calculatedColumnFormula>
    </tableColumn>
    <tableColumn id="7" xr3:uid="{B2E7B3FB-AACD-469C-A6BE-FBD5422DA04F}" name="Manufacturer Part Number"/>
    <tableColumn id="8" xr3:uid="{96D262B8-1528-4063-992C-4286CBE36BDE}" name="Manufactur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05CE-A5B0-4CAD-9EEF-5C2CCC45136A}">
  <dimension ref="A1:H72"/>
  <sheetViews>
    <sheetView workbookViewId="0">
      <selection activeCell="F61" sqref="F61"/>
    </sheetView>
  </sheetViews>
  <sheetFormatPr defaultRowHeight="14.5" x14ac:dyDescent="0.35"/>
  <cols>
    <col min="5" max="5" width="31" hidden="1" customWidth="1"/>
    <col min="6" max="6" width="26.08984375" customWidth="1"/>
    <col min="7" max="7" width="22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1</v>
      </c>
      <c r="D2" t="s">
        <v>9</v>
      </c>
      <c r="E2" t="s">
        <v>10</v>
      </c>
      <c r="G2" t="s">
        <v>11</v>
      </c>
      <c r="H2" t="s">
        <v>12</v>
      </c>
    </row>
    <row r="3" spans="1:8" x14ac:dyDescent="0.35">
      <c r="A3">
        <v>2</v>
      </c>
      <c r="B3" t="s">
        <v>13</v>
      </c>
      <c r="C3">
        <v>1</v>
      </c>
      <c r="D3" t="s">
        <v>9</v>
      </c>
      <c r="E3" t="s">
        <v>14</v>
      </c>
      <c r="G3" t="s">
        <v>11</v>
      </c>
      <c r="H3" t="s">
        <v>12</v>
      </c>
    </row>
    <row r="4" spans="1:8" x14ac:dyDescent="0.35">
      <c r="A4">
        <v>3</v>
      </c>
      <c r="B4" t="s">
        <v>15</v>
      </c>
      <c r="C4">
        <v>39</v>
      </c>
      <c r="D4" t="s">
        <v>16</v>
      </c>
      <c r="E4" t="s">
        <v>17</v>
      </c>
      <c r="G4" t="s">
        <v>18</v>
      </c>
      <c r="H4" t="s">
        <v>19</v>
      </c>
    </row>
    <row r="5" spans="1:8" x14ac:dyDescent="0.35">
      <c r="A5">
        <v>4</v>
      </c>
      <c r="B5" t="s">
        <v>20</v>
      </c>
      <c r="C5">
        <v>7</v>
      </c>
      <c r="D5" t="s">
        <v>21</v>
      </c>
      <c r="E5" t="s">
        <v>22</v>
      </c>
      <c r="G5" t="s">
        <v>23</v>
      </c>
      <c r="H5" t="s">
        <v>19</v>
      </c>
    </row>
    <row r="6" spans="1:8" x14ac:dyDescent="0.35">
      <c r="A6">
        <v>5</v>
      </c>
      <c r="B6" t="s">
        <v>24</v>
      </c>
      <c r="C6">
        <v>4</v>
      </c>
      <c r="D6" t="s">
        <v>21</v>
      </c>
      <c r="E6" t="s">
        <v>25</v>
      </c>
      <c r="G6" t="s">
        <v>26</v>
      </c>
      <c r="H6" t="s">
        <v>27</v>
      </c>
    </row>
    <row r="7" spans="1:8" x14ac:dyDescent="0.35">
      <c r="A7">
        <v>6</v>
      </c>
      <c r="B7" t="s">
        <v>28</v>
      </c>
      <c r="C7">
        <v>3</v>
      </c>
      <c r="D7" t="s">
        <v>29</v>
      </c>
      <c r="E7" t="s">
        <v>30</v>
      </c>
      <c r="G7" t="s">
        <v>31</v>
      </c>
      <c r="H7" t="s">
        <v>32</v>
      </c>
    </row>
    <row r="8" spans="1:8" x14ac:dyDescent="0.35">
      <c r="A8">
        <v>7</v>
      </c>
      <c r="B8" t="s">
        <v>33</v>
      </c>
      <c r="C8">
        <v>4</v>
      </c>
      <c r="D8" t="s">
        <v>34</v>
      </c>
      <c r="E8" t="s">
        <v>35</v>
      </c>
      <c r="G8" t="s">
        <v>36</v>
      </c>
      <c r="H8" t="s">
        <v>19</v>
      </c>
    </row>
    <row r="9" spans="1:8" x14ac:dyDescent="0.35">
      <c r="A9">
        <v>8</v>
      </c>
      <c r="B9" t="s">
        <v>37</v>
      </c>
      <c r="C9">
        <v>7</v>
      </c>
      <c r="D9" t="s">
        <v>38</v>
      </c>
      <c r="E9" t="s">
        <v>39</v>
      </c>
      <c r="G9" t="s">
        <v>40</v>
      </c>
      <c r="H9" t="s">
        <v>19</v>
      </c>
    </row>
    <row r="10" spans="1:8" x14ac:dyDescent="0.35">
      <c r="A10">
        <v>9</v>
      </c>
      <c r="B10" t="s">
        <v>41</v>
      </c>
      <c r="C10">
        <v>1</v>
      </c>
      <c r="D10" t="s">
        <v>42</v>
      </c>
      <c r="E10" t="s">
        <v>43</v>
      </c>
      <c r="G10" t="s">
        <v>44</v>
      </c>
      <c r="H10" t="s">
        <v>45</v>
      </c>
    </row>
    <row r="11" spans="1:8" x14ac:dyDescent="0.35">
      <c r="A11">
        <v>10</v>
      </c>
      <c r="B11" t="s">
        <v>46</v>
      </c>
      <c r="C11">
        <v>1</v>
      </c>
      <c r="D11" t="s">
        <v>47</v>
      </c>
      <c r="E11" t="s">
        <v>48</v>
      </c>
      <c r="G11" t="s">
        <v>49</v>
      </c>
      <c r="H11" t="s">
        <v>50</v>
      </c>
    </row>
    <row r="12" spans="1:8" x14ac:dyDescent="0.35">
      <c r="A12">
        <v>11</v>
      </c>
      <c r="B12" t="s">
        <v>51</v>
      </c>
      <c r="C12">
        <v>1</v>
      </c>
      <c r="D12" t="s">
        <v>52</v>
      </c>
      <c r="E12" t="s">
        <v>53</v>
      </c>
      <c r="G12" t="s">
        <v>54</v>
      </c>
      <c r="H12" t="s">
        <v>55</v>
      </c>
    </row>
    <row r="13" spans="1:8" x14ac:dyDescent="0.35">
      <c r="A13">
        <v>12</v>
      </c>
      <c r="B13" t="s">
        <v>56</v>
      </c>
      <c r="C13">
        <v>1</v>
      </c>
      <c r="D13" t="s">
        <v>57</v>
      </c>
      <c r="E13" t="s">
        <v>39</v>
      </c>
      <c r="G13" t="s">
        <v>58</v>
      </c>
      <c r="H13" t="s">
        <v>19</v>
      </c>
    </row>
    <row r="14" spans="1:8" x14ac:dyDescent="0.35">
      <c r="A14">
        <v>13</v>
      </c>
      <c r="B14" t="s">
        <v>59</v>
      </c>
      <c r="C14">
        <v>15</v>
      </c>
      <c r="D14" t="s">
        <v>60</v>
      </c>
      <c r="E14" t="s">
        <v>61</v>
      </c>
      <c r="G14" t="s">
        <v>62</v>
      </c>
      <c r="H14" t="s">
        <v>19</v>
      </c>
    </row>
    <row r="15" spans="1:8" x14ac:dyDescent="0.35">
      <c r="A15">
        <v>14</v>
      </c>
      <c r="B15" t="s">
        <v>63</v>
      </c>
      <c r="C15">
        <v>2</v>
      </c>
      <c r="D15" t="s">
        <v>64</v>
      </c>
      <c r="E15" t="s">
        <v>65</v>
      </c>
      <c r="G15" t="s">
        <v>66</v>
      </c>
      <c r="H15" t="s">
        <v>50</v>
      </c>
    </row>
    <row r="16" spans="1:8" x14ac:dyDescent="0.35">
      <c r="A16">
        <v>15</v>
      </c>
      <c r="B16" t="s">
        <v>67</v>
      </c>
      <c r="C16">
        <v>2</v>
      </c>
      <c r="D16" t="s">
        <v>68</v>
      </c>
      <c r="E16" t="s">
        <v>69</v>
      </c>
      <c r="G16" t="s">
        <v>70</v>
      </c>
      <c r="H16" t="s">
        <v>27</v>
      </c>
    </row>
    <row r="17" spans="1:8" x14ac:dyDescent="0.35">
      <c r="A17">
        <v>16</v>
      </c>
      <c r="B17" t="s">
        <v>71</v>
      </c>
      <c r="C17">
        <v>3</v>
      </c>
      <c r="D17" t="s">
        <v>72</v>
      </c>
      <c r="E17" t="s">
        <v>73</v>
      </c>
      <c r="G17" t="s">
        <v>72</v>
      </c>
      <c r="H17" t="s">
        <v>74</v>
      </c>
    </row>
    <row r="18" spans="1:8" x14ac:dyDescent="0.35">
      <c r="A18">
        <v>17</v>
      </c>
      <c r="B18" t="s">
        <v>75</v>
      </c>
      <c r="C18">
        <v>4</v>
      </c>
      <c r="D18" t="s">
        <v>76</v>
      </c>
      <c r="E18" t="s">
        <v>77</v>
      </c>
      <c r="G18" t="s">
        <v>78</v>
      </c>
      <c r="H18" t="s">
        <v>79</v>
      </c>
    </row>
    <row r="19" spans="1:8" x14ac:dyDescent="0.35">
      <c r="A19">
        <v>18</v>
      </c>
      <c r="B19" t="s">
        <v>80</v>
      </c>
      <c r="C19">
        <v>7</v>
      </c>
      <c r="D19" t="s">
        <v>81</v>
      </c>
      <c r="E19" t="s">
        <v>82</v>
      </c>
    </row>
    <row r="20" spans="1:8" x14ac:dyDescent="0.35">
      <c r="A20">
        <v>19</v>
      </c>
      <c r="B20" t="s">
        <v>83</v>
      </c>
      <c r="C20">
        <v>1</v>
      </c>
      <c r="D20" t="s">
        <v>84</v>
      </c>
      <c r="E20" t="s">
        <v>85</v>
      </c>
      <c r="G20" t="s">
        <v>84</v>
      </c>
      <c r="H20" t="s">
        <v>86</v>
      </c>
    </row>
    <row r="21" spans="1:8" x14ac:dyDescent="0.35">
      <c r="A21">
        <v>20</v>
      </c>
      <c r="B21" t="s">
        <v>87</v>
      </c>
      <c r="C21">
        <v>1</v>
      </c>
      <c r="D21">
        <v>1053141308</v>
      </c>
      <c r="E21" t="s">
        <v>88</v>
      </c>
      <c r="G21">
        <v>1053141308</v>
      </c>
      <c r="H21" t="s">
        <v>89</v>
      </c>
    </row>
    <row r="22" spans="1:8" x14ac:dyDescent="0.35">
      <c r="A22">
        <v>21</v>
      </c>
      <c r="B22" t="s">
        <v>90</v>
      </c>
      <c r="C22">
        <v>1</v>
      </c>
      <c r="D22" t="s">
        <v>91</v>
      </c>
      <c r="E22" t="s">
        <v>92</v>
      </c>
      <c r="G22" t="s">
        <v>91</v>
      </c>
      <c r="H22" t="s">
        <v>93</v>
      </c>
    </row>
    <row r="23" spans="1:8" x14ac:dyDescent="0.35">
      <c r="A23">
        <v>22</v>
      </c>
      <c r="B23" t="s">
        <v>94</v>
      </c>
      <c r="C23">
        <v>1</v>
      </c>
      <c r="D23" t="s">
        <v>95</v>
      </c>
      <c r="E23" t="s">
        <v>96</v>
      </c>
    </row>
    <row r="24" spans="1:8" x14ac:dyDescent="0.35">
      <c r="A24">
        <v>23</v>
      </c>
      <c r="B24" t="s">
        <v>97</v>
      </c>
      <c r="C24">
        <v>1</v>
      </c>
      <c r="D24" t="s">
        <v>98</v>
      </c>
      <c r="E24" t="s">
        <v>99</v>
      </c>
    </row>
    <row r="25" spans="1:8" x14ac:dyDescent="0.35">
      <c r="A25">
        <v>24</v>
      </c>
      <c r="B25" t="s">
        <v>100</v>
      </c>
      <c r="C25">
        <v>4</v>
      </c>
      <c r="D25" t="s">
        <v>101</v>
      </c>
      <c r="E25" t="s">
        <v>102</v>
      </c>
      <c r="G25" t="s">
        <v>101</v>
      </c>
      <c r="H25" t="s">
        <v>103</v>
      </c>
    </row>
    <row r="26" spans="1:8" x14ac:dyDescent="0.35">
      <c r="A26">
        <v>25</v>
      </c>
      <c r="B26" t="s">
        <v>104</v>
      </c>
      <c r="C26">
        <v>1</v>
      </c>
      <c r="D26" t="s">
        <v>105</v>
      </c>
      <c r="E26" t="s">
        <v>106</v>
      </c>
      <c r="G26" t="s">
        <v>105</v>
      </c>
      <c r="H26" t="s">
        <v>107</v>
      </c>
    </row>
    <row r="27" spans="1:8" x14ac:dyDescent="0.35">
      <c r="A27">
        <v>26</v>
      </c>
      <c r="B27" t="s">
        <v>108</v>
      </c>
      <c r="C27">
        <v>1</v>
      </c>
      <c r="D27">
        <v>1053131303</v>
      </c>
      <c r="E27" t="s">
        <v>109</v>
      </c>
      <c r="G27">
        <v>1053131303</v>
      </c>
      <c r="H27" t="s">
        <v>89</v>
      </c>
    </row>
    <row r="28" spans="1:8" x14ac:dyDescent="0.35">
      <c r="A28">
        <v>27</v>
      </c>
      <c r="B28" t="s">
        <v>110</v>
      </c>
      <c r="C28">
        <v>1</v>
      </c>
      <c r="D28" t="s">
        <v>101</v>
      </c>
      <c r="E28" t="s">
        <v>111</v>
      </c>
      <c r="G28" t="s">
        <v>101</v>
      </c>
      <c r="H28" t="s">
        <v>103</v>
      </c>
    </row>
    <row r="29" spans="1:8" x14ac:dyDescent="0.35">
      <c r="A29">
        <v>28</v>
      </c>
      <c r="B29" t="s">
        <v>112</v>
      </c>
      <c r="C29">
        <v>1</v>
      </c>
      <c r="D29">
        <v>5024940670</v>
      </c>
      <c r="E29" t="s">
        <v>113</v>
      </c>
      <c r="G29">
        <v>5024940670</v>
      </c>
      <c r="H29" t="s">
        <v>89</v>
      </c>
    </row>
    <row r="30" spans="1:8" x14ac:dyDescent="0.35">
      <c r="A30">
        <v>29</v>
      </c>
      <c r="B30" t="s">
        <v>114</v>
      </c>
      <c r="C30">
        <v>4</v>
      </c>
      <c r="D30">
        <v>1053131302</v>
      </c>
      <c r="E30" t="s">
        <v>115</v>
      </c>
      <c r="G30">
        <v>1053131302</v>
      </c>
      <c r="H30" t="s">
        <v>89</v>
      </c>
    </row>
    <row r="31" spans="1:8" x14ac:dyDescent="0.35">
      <c r="A31">
        <v>30</v>
      </c>
      <c r="B31" t="s">
        <v>116</v>
      </c>
      <c r="C31">
        <v>1</v>
      </c>
      <c r="D31" t="s">
        <v>117</v>
      </c>
      <c r="E31" t="s">
        <v>118</v>
      </c>
      <c r="G31" t="s">
        <v>119</v>
      </c>
      <c r="H31" t="s">
        <v>86</v>
      </c>
    </row>
    <row r="32" spans="1:8" x14ac:dyDescent="0.35">
      <c r="A32">
        <v>31</v>
      </c>
      <c r="B32" t="s">
        <v>120</v>
      </c>
      <c r="C32">
        <v>1</v>
      </c>
      <c r="D32" t="s">
        <v>121</v>
      </c>
      <c r="E32" t="s">
        <v>122</v>
      </c>
      <c r="G32" t="s">
        <v>123</v>
      </c>
      <c r="H32" t="s">
        <v>124</v>
      </c>
    </row>
    <row r="33" spans="1:8" x14ac:dyDescent="0.35">
      <c r="A33">
        <v>32</v>
      </c>
      <c r="B33" t="s">
        <v>125</v>
      </c>
      <c r="C33">
        <v>12</v>
      </c>
      <c r="D33" t="s">
        <v>126</v>
      </c>
      <c r="E33" t="s">
        <v>127</v>
      </c>
      <c r="G33" t="s">
        <v>126</v>
      </c>
      <c r="H33" t="s">
        <v>128</v>
      </c>
    </row>
    <row r="34" spans="1:8" x14ac:dyDescent="0.35">
      <c r="A34">
        <v>33</v>
      </c>
      <c r="B34" t="s">
        <v>129</v>
      </c>
      <c r="C34">
        <v>3</v>
      </c>
      <c r="D34" t="s">
        <v>130</v>
      </c>
      <c r="E34" t="s">
        <v>131</v>
      </c>
      <c r="G34" t="s">
        <v>130</v>
      </c>
      <c r="H34" t="s">
        <v>132</v>
      </c>
    </row>
    <row r="35" spans="1:8" x14ac:dyDescent="0.35">
      <c r="A35">
        <v>34</v>
      </c>
      <c r="B35" t="s">
        <v>133</v>
      </c>
      <c r="C35">
        <v>1</v>
      </c>
      <c r="D35" t="s">
        <v>134</v>
      </c>
      <c r="E35" t="s">
        <v>135</v>
      </c>
      <c r="G35" t="s">
        <v>134</v>
      </c>
      <c r="H35" t="s">
        <v>136</v>
      </c>
    </row>
    <row r="36" spans="1:8" x14ac:dyDescent="0.35">
      <c r="A36">
        <v>35</v>
      </c>
      <c r="B36" t="s">
        <v>137</v>
      </c>
      <c r="C36">
        <v>13</v>
      </c>
      <c r="D36" t="s">
        <v>138</v>
      </c>
      <c r="E36" t="s">
        <v>139</v>
      </c>
      <c r="G36" t="s">
        <v>138</v>
      </c>
      <c r="H36" t="s">
        <v>140</v>
      </c>
    </row>
    <row r="37" spans="1:8" x14ac:dyDescent="0.35">
      <c r="A37">
        <v>36</v>
      </c>
      <c r="B37" t="s">
        <v>141</v>
      </c>
      <c r="C37">
        <v>1</v>
      </c>
      <c r="D37" t="s">
        <v>142</v>
      </c>
      <c r="E37" t="s">
        <v>143</v>
      </c>
      <c r="G37" t="s">
        <v>144</v>
      </c>
      <c r="H37" t="s">
        <v>145</v>
      </c>
    </row>
    <row r="38" spans="1:8" x14ac:dyDescent="0.35">
      <c r="A38">
        <v>37</v>
      </c>
      <c r="B38" t="s">
        <v>146</v>
      </c>
      <c r="C38">
        <v>18</v>
      </c>
      <c r="D38">
        <v>100</v>
      </c>
      <c r="E38" t="s">
        <v>147</v>
      </c>
      <c r="G38" t="s">
        <v>148</v>
      </c>
      <c r="H38" t="s">
        <v>149</v>
      </c>
    </row>
    <row r="39" spans="1:8" x14ac:dyDescent="0.35">
      <c r="A39">
        <v>38</v>
      </c>
      <c r="B39" t="s">
        <v>150</v>
      </c>
      <c r="C39">
        <v>14</v>
      </c>
      <c r="D39">
        <v>27</v>
      </c>
      <c r="E39" t="s">
        <v>151</v>
      </c>
      <c r="G39" t="s">
        <v>152</v>
      </c>
      <c r="H39" t="s">
        <v>50</v>
      </c>
    </row>
    <row r="40" spans="1:8" x14ac:dyDescent="0.35">
      <c r="A40">
        <v>39</v>
      </c>
      <c r="B40" t="s">
        <v>153</v>
      </c>
      <c r="C40">
        <v>24</v>
      </c>
      <c r="D40">
        <v>15</v>
      </c>
      <c r="E40" t="s">
        <v>154</v>
      </c>
      <c r="G40" t="s">
        <v>155</v>
      </c>
      <c r="H40" t="s">
        <v>156</v>
      </c>
    </row>
    <row r="41" spans="1:8" x14ac:dyDescent="0.35">
      <c r="A41">
        <v>40</v>
      </c>
      <c r="B41" t="s">
        <v>157</v>
      </c>
      <c r="C41">
        <v>15</v>
      </c>
      <c r="D41">
        <v>475</v>
      </c>
      <c r="E41" t="s">
        <v>147</v>
      </c>
      <c r="G41" t="s">
        <v>158</v>
      </c>
      <c r="H41" t="s">
        <v>149</v>
      </c>
    </row>
    <row r="42" spans="1:8" x14ac:dyDescent="0.35">
      <c r="A42">
        <v>41</v>
      </c>
      <c r="B42" t="s">
        <v>159</v>
      </c>
      <c r="C42">
        <v>10</v>
      </c>
      <c r="D42" t="s">
        <v>160</v>
      </c>
      <c r="E42" t="s">
        <v>161</v>
      </c>
      <c r="G42" t="s">
        <v>162</v>
      </c>
      <c r="H42" t="s">
        <v>163</v>
      </c>
    </row>
    <row r="43" spans="1:8" x14ac:dyDescent="0.35">
      <c r="A43">
        <v>42</v>
      </c>
      <c r="B43" t="s">
        <v>164</v>
      </c>
      <c r="C43">
        <v>3</v>
      </c>
      <c r="D43" t="s">
        <v>160</v>
      </c>
      <c r="E43" t="s">
        <v>161</v>
      </c>
      <c r="F43" t="s">
        <v>5</v>
      </c>
      <c r="G43" t="s">
        <v>162</v>
      </c>
      <c r="H43" t="s">
        <v>163</v>
      </c>
    </row>
    <row r="44" spans="1:8" x14ac:dyDescent="0.35">
      <c r="A44">
        <v>43</v>
      </c>
      <c r="B44" t="s">
        <v>165</v>
      </c>
      <c r="C44">
        <v>11</v>
      </c>
      <c r="D44">
        <v>0</v>
      </c>
      <c r="E44" t="s">
        <v>166</v>
      </c>
      <c r="G44" t="s">
        <v>167</v>
      </c>
      <c r="H44" t="s">
        <v>124</v>
      </c>
    </row>
    <row r="45" spans="1:8" x14ac:dyDescent="0.35">
      <c r="A45">
        <v>44</v>
      </c>
      <c r="B45" t="s">
        <v>168</v>
      </c>
      <c r="C45">
        <v>11</v>
      </c>
      <c r="D45">
        <v>0</v>
      </c>
      <c r="E45" t="s">
        <v>166</v>
      </c>
      <c r="F45" t="s">
        <v>5</v>
      </c>
      <c r="G45" t="s">
        <v>167</v>
      </c>
      <c r="H45" t="s">
        <v>124</v>
      </c>
    </row>
    <row r="46" spans="1:8" x14ac:dyDescent="0.35">
      <c r="A46">
        <v>45</v>
      </c>
      <c r="B46" t="s">
        <v>169</v>
      </c>
      <c r="C46">
        <v>1</v>
      </c>
      <c r="D46" t="s">
        <v>170</v>
      </c>
      <c r="E46" t="s">
        <v>171</v>
      </c>
      <c r="G46" t="s">
        <v>172</v>
      </c>
      <c r="H46" t="s">
        <v>173</v>
      </c>
    </row>
    <row r="47" spans="1:8" x14ac:dyDescent="0.35">
      <c r="A47">
        <v>46</v>
      </c>
      <c r="B47" t="s">
        <v>174</v>
      </c>
      <c r="C47">
        <v>8</v>
      </c>
      <c r="D47" t="s">
        <v>175</v>
      </c>
      <c r="E47" t="s">
        <v>151</v>
      </c>
      <c r="G47" t="s">
        <v>176</v>
      </c>
      <c r="H47" t="s">
        <v>50</v>
      </c>
    </row>
    <row r="48" spans="1:8" x14ac:dyDescent="0.35">
      <c r="A48">
        <v>47</v>
      </c>
      <c r="B48" t="s">
        <v>177</v>
      </c>
      <c r="C48">
        <v>1</v>
      </c>
      <c r="D48" t="s">
        <v>178</v>
      </c>
      <c r="E48" t="s">
        <v>179</v>
      </c>
      <c r="G48" t="s">
        <v>180</v>
      </c>
      <c r="H48" t="s">
        <v>50</v>
      </c>
    </row>
    <row r="49" spans="1:8" x14ac:dyDescent="0.35">
      <c r="A49">
        <v>48</v>
      </c>
      <c r="B49" t="s">
        <v>181</v>
      </c>
      <c r="C49">
        <v>2</v>
      </c>
      <c r="D49" t="s">
        <v>182</v>
      </c>
      <c r="E49" t="s">
        <v>179</v>
      </c>
      <c r="G49" t="s">
        <v>183</v>
      </c>
      <c r="H49" t="s">
        <v>50</v>
      </c>
    </row>
    <row r="50" spans="1:8" x14ac:dyDescent="0.35">
      <c r="A50">
        <v>49</v>
      </c>
      <c r="B50" t="s">
        <v>184</v>
      </c>
      <c r="C50">
        <v>1</v>
      </c>
      <c r="D50" t="s">
        <v>185</v>
      </c>
      <c r="E50" t="s">
        <v>151</v>
      </c>
      <c r="G50" t="s">
        <v>186</v>
      </c>
      <c r="H50" t="s">
        <v>50</v>
      </c>
    </row>
    <row r="51" spans="1:8" x14ac:dyDescent="0.35">
      <c r="A51">
        <v>50</v>
      </c>
      <c r="B51" t="s">
        <v>187</v>
      </c>
      <c r="C51">
        <v>2</v>
      </c>
      <c r="D51" t="s">
        <v>188</v>
      </c>
      <c r="E51" t="s">
        <v>179</v>
      </c>
      <c r="G51" t="s">
        <v>189</v>
      </c>
      <c r="H51" t="s">
        <v>50</v>
      </c>
    </row>
    <row r="52" spans="1:8" x14ac:dyDescent="0.35">
      <c r="A52">
        <v>51</v>
      </c>
      <c r="B52" t="s">
        <v>190</v>
      </c>
      <c r="C52">
        <v>1</v>
      </c>
      <c r="D52" t="s">
        <v>191</v>
      </c>
      <c r="E52" t="s">
        <v>192</v>
      </c>
      <c r="G52" t="s">
        <v>193</v>
      </c>
      <c r="H52" t="s">
        <v>124</v>
      </c>
    </row>
    <row r="53" spans="1:8" x14ac:dyDescent="0.35">
      <c r="A53">
        <v>52</v>
      </c>
      <c r="B53" t="s">
        <v>194</v>
      </c>
      <c r="C53">
        <v>1</v>
      </c>
      <c r="D53">
        <v>3.3</v>
      </c>
      <c r="E53" t="s">
        <v>195</v>
      </c>
      <c r="G53" t="s">
        <v>196</v>
      </c>
      <c r="H53" t="s">
        <v>197</v>
      </c>
    </row>
    <row r="54" spans="1:8" x14ac:dyDescent="0.35">
      <c r="A54">
        <v>53</v>
      </c>
      <c r="B54" t="s">
        <v>198</v>
      </c>
      <c r="C54">
        <v>10</v>
      </c>
      <c r="D54" t="s">
        <v>199</v>
      </c>
      <c r="E54" t="s">
        <v>179</v>
      </c>
      <c r="G54" t="s">
        <v>200</v>
      </c>
      <c r="H54" t="s">
        <v>50</v>
      </c>
    </row>
    <row r="55" spans="1:8" x14ac:dyDescent="0.35">
      <c r="A55">
        <v>54</v>
      </c>
      <c r="B55" t="s">
        <v>201</v>
      </c>
      <c r="C55">
        <v>1</v>
      </c>
      <c r="D55" t="s">
        <v>202</v>
      </c>
      <c r="E55" t="s">
        <v>151</v>
      </c>
      <c r="G55" t="s">
        <v>203</v>
      </c>
      <c r="H55" t="s">
        <v>50</v>
      </c>
    </row>
    <row r="56" spans="1:8" x14ac:dyDescent="0.35">
      <c r="A56">
        <v>55</v>
      </c>
      <c r="B56" t="s">
        <v>204</v>
      </c>
      <c r="C56">
        <v>1</v>
      </c>
      <c r="D56" t="s">
        <v>205</v>
      </c>
      <c r="E56" t="s">
        <v>151</v>
      </c>
      <c r="G56" t="s">
        <v>206</v>
      </c>
      <c r="H56" t="s">
        <v>50</v>
      </c>
    </row>
    <row r="57" spans="1:8" x14ac:dyDescent="0.35">
      <c r="A57">
        <v>56</v>
      </c>
      <c r="B57" t="s">
        <v>207</v>
      </c>
      <c r="C57">
        <v>2</v>
      </c>
      <c r="D57" t="s">
        <v>208</v>
      </c>
      <c r="E57" t="s">
        <v>151</v>
      </c>
      <c r="G57" t="s">
        <v>209</v>
      </c>
      <c r="H57" t="s">
        <v>50</v>
      </c>
    </row>
    <row r="58" spans="1:8" x14ac:dyDescent="0.35">
      <c r="A58">
        <v>57</v>
      </c>
      <c r="B58" t="s">
        <v>210</v>
      </c>
      <c r="C58">
        <v>2</v>
      </c>
      <c r="D58" t="s">
        <v>211</v>
      </c>
      <c r="E58" t="s">
        <v>212</v>
      </c>
      <c r="G58" t="s">
        <v>213</v>
      </c>
      <c r="H58" t="s">
        <v>214</v>
      </c>
    </row>
    <row r="59" spans="1:8" x14ac:dyDescent="0.35">
      <c r="A59">
        <v>58</v>
      </c>
      <c r="B59" t="s">
        <v>215</v>
      </c>
      <c r="C59">
        <v>3</v>
      </c>
      <c r="D59">
        <v>5261</v>
      </c>
      <c r="E59" t="s">
        <v>216</v>
      </c>
      <c r="G59">
        <v>5261</v>
      </c>
      <c r="H59" t="s">
        <v>217</v>
      </c>
    </row>
    <row r="60" spans="1:8" x14ac:dyDescent="0.35">
      <c r="A60">
        <v>59</v>
      </c>
      <c r="B60" t="s">
        <v>218</v>
      </c>
      <c r="C60">
        <v>21</v>
      </c>
      <c r="D60" t="s">
        <v>219</v>
      </c>
      <c r="E60" t="s">
        <v>220</v>
      </c>
    </row>
    <row r="61" spans="1:8" x14ac:dyDescent="0.35">
      <c r="A61">
        <v>60</v>
      </c>
      <c r="B61" t="s">
        <v>221</v>
      </c>
      <c r="C61">
        <v>1</v>
      </c>
      <c r="D61" t="s">
        <v>222</v>
      </c>
      <c r="E61" t="s">
        <v>223</v>
      </c>
      <c r="G61" t="s">
        <v>222</v>
      </c>
      <c r="H61" t="s">
        <v>224</v>
      </c>
    </row>
    <row r="62" spans="1:8" x14ac:dyDescent="0.35">
      <c r="A62">
        <v>61</v>
      </c>
      <c r="B62" t="s">
        <v>225</v>
      </c>
      <c r="C62">
        <v>1</v>
      </c>
      <c r="D62" t="s">
        <v>226</v>
      </c>
      <c r="E62" t="s">
        <v>227</v>
      </c>
      <c r="G62" t="s">
        <v>226</v>
      </c>
      <c r="H62" t="s">
        <v>224</v>
      </c>
    </row>
    <row r="63" spans="1:8" x14ac:dyDescent="0.35">
      <c r="A63">
        <v>62</v>
      </c>
      <c r="B63" t="s">
        <v>228</v>
      </c>
      <c r="C63">
        <v>1</v>
      </c>
      <c r="D63" t="s">
        <v>229</v>
      </c>
      <c r="E63" t="s">
        <v>230</v>
      </c>
      <c r="G63" t="s">
        <v>229</v>
      </c>
      <c r="H63" t="s">
        <v>231</v>
      </c>
    </row>
    <row r="64" spans="1:8" x14ac:dyDescent="0.35">
      <c r="A64">
        <v>63</v>
      </c>
      <c r="B64" t="s">
        <v>232</v>
      </c>
      <c r="C64">
        <v>1</v>
      </c>
      <c r="D64" t="s">
        <v>233</v>
      </c>
      <c r="E64" t="s">
        <v>234</v>
      </c>
      <c r="G64" t="s">
        <v>233</v>
      </c>
      <c r="H64" t="s">
        <v>235</v>
      </c>
    </row>
    <row r="65" spans="1:8" x14ac:dyDescent="0.35">
      <c r="A65">
        <v>64</v>
      </c>
      <c r="B65" t="s">
        <v>236</v>
      </c>
      <c r="C65">
        <v>1</v>
      </c>
      <c r="D65" t="s">
        <v>237</v>
      </c>
      <c r="E65" t="s">
        <v>238</v>
      </c>
      <c r="G65" t="s">
        <v>237</v>
      </c>
      <c r="H65" t="s">
        <v>140</v>
      </c>
    </row>
    <row r="66" spans="1:8" x14ac:dyDescent="0.35">
      <c r="A66">
        <v>65</v>
      </c>
      <c r="B66" t="s">
        <v>239</v>
      </c>
      <c r="C66">
        <v>1</v>
      </c>
      <c r="D66" t="s">
        <v>240</v>
      </c>
      <c r="E66" t="s">
        <v>241</v>
      </c>
      <c r="G66" t="s">
        <v>242</v>
      </c>
      <c r="H66" t="s">
        <v>243</v>
      </c>
    </row>
    <row r="67" spans="1:8" x14ac:dyDescent="0.35">
      <c r="A67">
        <v>66</v>
      </c>
      <c r="B67" t="s">
        <v>244</v>
      </c>
      <c r="C67">
        <v>1</v>
      </c>
      <c r="D67" t="s">
        <v>245</v>
      </c>
      <c r="E67" t="s">
        <v>246</v>
      </c>
      <c r="G67" t="s">
        <v>245</v>
      </c>
      <c r="H67" t="s">
        <v>224</v>
      </c>
    </row>
    <row r="68" spans="1:8" x14ac:dyDescent="0.35">
      <c r="A68">
        <v>67</v>
      </c>
      <c r="B68" t="s">
        <v>247</v>
      </c>
      <c r="C68">
        <v>1</v>
      </c>
      <c r="D68" t="s">
        <v>248</v>
      </c>
      <c r="E68" t="s">
        <v>249</v>
      </c>
      <c r="G68" t="s">
        <v>248</v>
      </c>
      <c r="H68" t="s">
        <v>250</v>
      </c>
    </row>
    <row r="69" spans="1:8" x14ac:dyDescent="0.35">
      <c r="A69">
        <v>68</v>
      </c>
      <c r="B69" t="s">
        <v>251</v>
      </c>
      <c r="C69">
        <v>1</v>
      </c>
      <c r="D69" t="s">
        <v>252</v>
      </c>
      <c r="E69" t="s">
        <v>253</v>
      </c>
      <c r="G69" t="s">
        <v>252</v>
      </c>
      <c r="H69" t="s">
        <v>250</v>
      </c>
    </row>
    <row r="70" spans="1:8" x14ac:dyDescent="0.35">
      <c r="A70">
        <v>69</v>
      </c>
      <c r="B70" t="s">
        <v>254</v>
      </c>
      <c r="C70">
        <v>1</v>
      </c>
      <c r="D70" t="s">
        <v>255</v>
      </c>
      <c r="E70" t="s">
        <v>256</v>
      </c>
      <c r="G70" t="s">
        <v>255</v>
      </c>
      <c r="H70" t="s">
        <v>257</v>
      </c>
    </row>
    <row r="71" spans="1:8" x14ac:dyDescent="0.35">
      <c r="A71">
        <v>70</v>
      </c>
      <c r="B71" t="s">
        <v>258</v>
      </c>
      <c r="C71">
        <v>1</v>
      </c>
      <c r="D71" t="s">
        <v>259</v>
      </c>
      <c r="E71" t="s">
        <v>260</v>
      </c>
      <c r="G71" t="s">
        <v>259</v>
      </c>
      <c r="H71" t="s">
        <v>19</v>
      </c>
    </row>
    <row r="72" spans="1:8" x14ac:dyDescent="0.35">
      <c r="A72">
        <v>71</v>
      </c>
      <c r="B72" t="s">
        <v>261</v>
      </c>
      <c r="C72">
        <v>12</v>
      </c>
      <c r="D72" t="s">
        <v>262</v>
      </c>
      <c r="E72" t="s">
        <v>263</v>
      </c>
      <c r="G72" t="s">
        <v>262</v>
      </c>
      <c r="H7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CC9C-E8FD-4595-83BA-64C97741E904}">
  <dimension ref="A1:H81"/>
  <sheetViews>
    <sheetView topLeftCell="A45" workbookViewId="0">
      <selection sqref="A1:H81"/>
    </sheetView>
  </sheetViews>
  <sheetFormatPr defaultRowHeight="14.5" x14ac:dyDescent="0.35"/>
  <cols>
    <col min="5" max="5" width="0" hidden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1</v>
      </c>
      <c r="D2" t="s">
        <v>9</v>
      </c>
      <c r="E2" t="s">
        <v>10</v>
      </c>
      <c r="G2" t="s">
        <v>11</v>
      </c>
      <c r="H2" t="s">
        <v>12</v>
      </c>
    </row>
    <row r="3" spans="1:8" x14ac:dyDescent="0.35">
      <c r="A3">
        <v>2</v>
      </c>
      <c r="B3" t="s">
        <v>13</v>
      </c>
      <c r="C3">
        <v>1</v>
      </c>
      <c r="D3" t="s">
        <v>9</v>
      </c>
      <c r="E3" t="s">
        <v>14</v>
      </c>
      <c r="G3" t="s">
        <v>11</v>
      </c>
      <c r="H3" t="s">
        <v>12</v>
      </c>
    </row>
    <row r="4" spans="1:8" x14ac:dyDescent="0.35">
      <c r="A4">
        <v>3</v>
      </c>
      <c r="B4" t="s">
        <v>312</v>
      </c>
      <c r="C4">
        <v>40</v>
      </c>
      <c r="D4" t="s">
        <v>16</v>
      </c>
      <c r="E4" t="s">
        <v>17</v>
      </c>
      <c r="G4" t="s">
        <v>18</v>
      </c>
      <c r="H4" t="s">
        <v>19</v>
      </c>
    </row>
    <row r="5" spans="1:8" x14ac:dyDescent="0.35">
      <c r="A5">
        <v>4</v>
      </c>
      <c r="B5" t="s">
        <v>314</v>
      </c>
      <c r="C5">
        <v>11</v>
      </c>
      <c r="D5" t="s">
        <v>21</v>
      </c>
      <c r="E5" t="s">
        <v>22</v>
      </c>
      <c r="G5" t="s">
        <v>23</v>
      </c>
      <c r="H5" t="s">
        <v>19</v>
      </c>
    </row>
    <row r="6" spans="1:8" x14ac:dyDescent="0.35">
      <c r="A6">
        <v>5</v>
      </c>
      <c r="B6" t="s">
        <v>311</v>
      </c>
      <c r="C6">
        <v>5</v>
      </c>
      <c r="D6" t="s">
        <v>21</v>
      </c>
      <c r="E6" t="s">
        <v>25</v>
      </c>
      <c r="G6" t="s">
        <v>26</v>
      </c>
      <c r="H6" t="s">
        <v>27</v>
      </c>
    </row>
    <row r="7" spans="1:8" x14ac:dyDescent="0.35">
      <c r="A7">
        <v>6</v>
      </c>
      <c r="B7" t="s">
        <v>28</v>
      </c>
      <c r="C7">
        <v>3</v>
      </c>
      <c r="D7" t="s">
        <v>29</v>
      </c>
      <c r="E7" t="s">
        <v>30</v>
      </c>
      <c r="G7" t="s">
        <v>31</v>
      </c>
      <c r="H7" t="s">
        <v>32</v>
      </c>
    </row>
    <row r="8" spans="1:8" x14ac:dyDescent="0.35">
      <c r="A8">
        <v>7</v>
      </c>
      <c r="B8" t="s">
        <v>33</v>
      </c>
      <c r="C8">
        <v>4</v>
      </c>
      <c r="D8" t="s">
        <v>34</v>
      </c>
      <c r="E8" t="s">
        <v>35</v>
      </c>
      <c r="G8" t="s">
        <v>36</v>
      </c>
      <c r="H8" t="s">
        <v>19</v>
      </c>
    </row>
    <row r="9" spans="1:8" x14ac:dyDescent="0.35">
      <c r="A9">
        <v>8</v>
      </c>
      <c r="B9" t="s">
        <v>37</v>
      </c>
      <c r="C9">
        <v>7</v>
      </c>
      <c r="D9" t="s">
        <v>38</v>
      </c>
      <c r="E9" t="s">
        <v>39</v>
      </c>
      <c r="G9" t="s">
        <v>40</v>
      </c>
      <c r="H9" t="s">
        <v>19</v>
      </c>
    </row>
    <row r="10" spans="1:8" x14ac:dyDescent="0.35">
      <c r="A10">
        <v>9</v>
      </c>
      <c r="B10" t="s">
        <v>41</v>
      </c>
      <c r="C10">
        <v>1</v>
      </c>
      <c r="D10" t="s">
        <v>310</v>
      </c>
      <c r="E10" t="s">
        <v>309</v>
      </c>
      <c r="G10" t="s">
        <v>308</v>
      </c>
      <c r="H10" t="s">
        <v>294</v>
      </c>
    </row>
    <row r="11" spans="1:8" x14ac:dyDescent="0.35">
      <c r="A11">
        <v>10</v>
      </c>
      <c r="B11" t="s">
        <v>46</v>
      </c>
      <c r="C11">
        <v>1</v>
      </c>
      <c r="D11" t="s">
        <v>47</v>
      </c>
      <c r="E11" t="s">
        <v>48</v>
      </c>
      <c r="G11" t="s">
        <v>49</v>
      </c>
      <c r="H11" t="s">
        <v>50</v>
      </c>
    </row>
    <row r="12" spans="1:8" x14ac:dyDescent="0.35">
      <c r="A12">
        <v>11</v>
      </c>
      <c r="B12" t="s">
        <v>51</v>
      </c>
      <c r="C12">
        <v>1</v>
      </c>
      <c r="D12" t="s">
        <v>52</v>
      </c>
      <c r="E12" t="s">
        <v>53</v>
      </c>
      <c r="G12" t="s">
        <v>54</v>
      </c>
      <c r="H12" t="s">
        <v>55</v>
      </c>
    </row>
    <row r="13" spans="1:8" x14ac:dyDescent="0.35">
      <c r="A13">
        <v>12</v>
      </c>
      <c r="B13" t="s">
        <v>56</v>
      </c>
      <c r="C13">
        <v>1</v>
      </c>
      <c r="D13" t="s">
        <v>57</v>
      </c>
      <c r="E13" t="s">
        <v>39</v>
      </c>
      <c r="G13" t="s">
        <v>58</v>
      </c>
      <c r="H13" t="s">
        <v>19</v>
      </c>
    </row>
    <row r="14" spans="1:8" x14ac:dyDescent="0.35">
      <c r="A14">
        <v>13</v>
      </c>
      <c r="B14" t="s">
        <v>59</v>
      </c>
      <c r="C14">
        <v>15</v>
      </c>
      <c r="D14" t="s">
        <v>60</v>
      </c>
      <c r="E14" t="s">
        <v>61</v>
      </c>
      <c r="G14" t="s">
        <v>62</v>
      </c>
      <c r="H14" t="s">
        <v>19</v>
      </c>
    </row>
    <row r="15" spans="1:8" x14ac:dyDescent="0.35">
      <c r="A15">
        <v>14</v>
      </c>
      <c r="B15" t="s">
        <v>63</v>
      </c>
      <c r="C15">
        <v>2</v>
      </c>
      <c r="D15" t="s">
        <v>64</v>
      </c>
      <c r="E15" t="s">
        <v>65</v>
      </c>
      <c r="G15" t="s">
        <v>66</v>
      </c>
      <c r="H15" t="s">
        <v>50</v>
      </c>
    </row>
    <row r="16" spans="1:8" x14ac:dyDescent="0.35">
      <c r="A16">
        <v>15</v>
      </c>
      <c r="B16" t="s">
        <v>307</v>
      </c>
      <c r="C16">
        <v>3</v>
      </c>
      <c r="D16" t="s">
        <v>68</v>
      </c>
      <c r="E16" t="s">
        <v>69</v>
      </c>
      <c r="G16" t="s">
        <v>70</v>
      </c>
      <c r="H16" t="s">
        <v>27</v>
      </c>
    </row>
    <row r="17" spans="1:8" x14ac:dyDescent="0.35">
      <c r="A17">
        <v>16</v>
      </c>
      <c r="B17" t="s">
        <v>306</v>
      </c>
      <c r="C17">
        <v>1</v>
      </c>
      <c r="D17" t="s">
        <v>29</v>
      </c>
      <c r="E17" t="s">
        <v>30</v>
      </c>
      <c r="F17" t="s">
        <v>5</v>
      </c>
      <c r="G17" t="s">
        <v>31</v>
      </c>
      <c r="H17" t="s">
        <v>32</v>
      </c>
    </row>
    <row r="18" spans="1:8" x14ac:dyDescent="0.35">
      <c r="A18">
        <v>17</v>
      </c>
      <c r="B18" t="s">
        <v>305</v>
      </c>
      <c r="C18">
        <v>1</v>
      </c>
      <c r="D18" t="s">
        <v>304</v>
      </c>
      <c r="E18" t="s">
        <v>303</v>
      </c>
      <c r="G18" t="s">
        <v>302</v>
      </c>
      <c r="H18" t="s">
        <v>50</v>
      </c>
    </row>
    <row r="19" spans="1:8" x14ac:dyDescent="0.35">
      <c r="A19">
        <v>18</v>
      </c>
      <c r="B19" t="s">
        <v>301</v>
      </c>
      <c r="C19">
        <v>1</v>
      </c>
      <c r="D19" t="s">
        <v>72</v>
      </c>
      <c r="E19" t="s">
        <v>73</v>
      </c>
      <c r="G19" t="s">
        <v>72</v>
      </c>
      <c r="H19" t="s">
        <v>74</v>
      </c>
    </row>
    <row r="20" spans="1:8" x14ac:dyDescent="0.35">
      <c r="A20">
        <v>19</v>
      </c>
      <c r="B20" t="s">
        <v>300</v>
      </c>
      <c r="C20">
        <v>6</v>
      </c>
      <c r="D20" t="s">
        <v>76</v>
      </c>
      <c r="E20" t="s">
        <v>77</v>
      </c>
      <c r="G20" t="s">
        <v>78</v>
      </c>
      <c r="H20" t="s">
        <v>79</v>
      </c>
    </row>
    <row r="21" spans="1:8" x14ac:dyDescent="0.35">
      <c r="A21">
        <v>20</v>
      </c>
      <c r="B21" t="s">
        <v>299</v>
      </c>
      <c r="C21">
        <v>4</v>
      </c>
      <c r="D21" t="s">
        <v>298</v>
      </c>
      <c r="E21" t="s">
        <v>296</v>
      </c>
      <c r="G21" t="s">
        <v>298</v>
      </c>
      <c r="H21" t="s">
        <v>294</v>
      </c>
    </row>
    <row r="22" spans="1:8" x14ac:dyDescent="0.35">
      <c r="A22">
        <v>21</v>
      </c>
      <c r="B22" t="s">
        <v>297</v>
      </c>
      <c r="C22">
        <v>8</v>
      </c>
      <c r="D22" t="s">
        <v>295</v>
      </c>
      <c r="E22" t="s">
        <v>296</v>
      </c>
      <c r="G22" t="s">
        <v>295</v>
      </c>
      <c r="H22" t="s">
        <v>294</v>
      </c>
    </row>
    <row r="23" spans="1:8" x14ac:dyDescent="0.35">
      <c r="A23">
        <v>22</v>
      </c>
      <c r="B23" t="s">
        <v>80</v>
      </c>
      <c r="C23">
        <v>7</v>
      </c>
      <c r="D23" t="s">
        <v>81</v>
      </c>
      <c r="E23" t="s">
        <v>82</v>
      </c>
    </row>
    <row r="24" spans="1:8" x14ac:dyDescent="0.35">
      <c r="A24">
        <v>23</v>
      </c>
      <c r="B24" t="s">
        <v>83</v>
      </c>
      <c r="C24">
        <v>1</v>
      </c>
      <c r="D24" t="s">
        <v>84</v>
      </c>
      <c r="E24" t="s">
        <v>85</v>
      </c>
      <c r="G24" t="s">
        <v>84</v>
      </c>
      <c r="H24" t="s">
        <v>86</v>
      </c>
    </row>
    <row r="25" spans="1:8" x14ac:dyDescent="0.35">
      <c r="A25">
        <v>24</v>
      </c>
      <c r="B25" t="s">
        <v>87</v>
      </c>
      <c r="C25">
        <v>1</v>
      </c>
      <c r="D25">
        <v>1053141308</v>
      </c>
      <c r="E25" t="s">
        <v>88</v>
      </c>
      <c r="G25">
        <v>1053141308</v>
      </c>
      <c r="H25" t="s">
        <v>89</v>
      </c>
    </row>
    <row r="26" spans="1:8" x14ac:dyDescent="0.35">
      <c r="A26">
        <v>25</v>
      </c>
      <c r="B26" t="s">
        <v>90</v>
      </c>
      <c r="C26">
        <v>1</v>
      </c>
      <c r="D26" t="s">
        <v>91</v>
      </c>
      <c r="E26" t="s">
        <v>92</v>
      </c>
      <c r="G26" t="s">
        <v>91</v>
      </c>
      <c r="H26" t="s">
        <v>93</v>
      </c>
    </row>
    <row r="27" spans="1:8" x14ac:dyDescent="0.35">
      <c r="A27">
        <v>26</v>
      </c>
      <c r="B27" t="s">
        <v>94</v>
      </c>
      <c r="C27">
        <v>1</v>
      </c>
      <c r="D27" t="s">
        <v>95</v>
      </c>
      <c r="E27" t="s">
        <v>96</v>
      </c>
    </row>
    <row r="28" spans="1:8" x14ac:dyDescent="0.35">
      <c r="A28">
        <v>27</v>
      </c>
      <c r="B28" t="s">
        <v>97</v>
      </c>
      <c r="C28">
        <v>1</v>
      </c>
      <c r="D28" t="s">
        <v>98</v>
      </c>
      <c r="E28" t="s">
        <v>99</v>
      </c>
    </row>
    <row r="29" spans="1:8" x14ac:dyDescent="0.35">
      <c r="A29">
        <v>28</v>
      </c>
      <c r="B29" t="s">
        <v>100</v>
      </c>
      <c r="C29">
        <v>4</v>
      </c>
      <c r="D29" t="s">
        <v>101</v>
      </c>
      <c r="E29" t="s">
        <v>102</v>
      </c>
      <c r="G29" t="s">
        <v>101</v>
      </c>
      <c r="H29" t="s">
        <v>103</v>
      </c>
    </row>
    <row r="30" spans="1:8" x14ac:dyDescent="0.35">
      <c r="A30">
        <v>29</v>
      </c>
      <c r="B30" t="s">
        <v>104</v>
      </c>
      <c r="C30">
        <v>1</v>
      </c>
      <c r="D30" t="s">
        <v>105</v>
      </c>
      <c r="E30" t="s">
        <v>106</v>
      </c>
      <c r="G30" t="s">
        <v>105</v>
      </c>
      <c r="H30" t="s">
        <v>107</v>
      </c>
    </row>
    <row r="31" spans="1:8" x14ac:dyDescent="0.35">
      <c r="A31">
        <v>30</v>
      </c>
      <c r="B31" t="s">
        <v>108</v>
      </c>
      <c r="C31">
        <v>1</v>
      </c>
      <c r="D31">
        <v>1053131303</v>
      </c>
      <c r="E31" t="s">
        <v>109</v>
      </c>
      <c r="G31">
        <v>1053131303</v>
      </c>
      <c r="H31" t="s">
        <v>89</v>
      </c>
    </row>
    <row r="32" spans="1:8" x14ac:dyDescent="0.35">
      <c r="A32">
        <v>31</v>
      </c>
      <c r="B32" t="s">
        <v>110</v>
      </c>
      <c r="C32">
        <v>1</v>
      </c>
      <c r="D32" t="s">
        <v>101</v>
      </c>
      <c r="E32" t="s">
        <v>111</v>
      </c>
      <c r="G32" t="s">
        <v>101</v>
      </c>
      <c r="H32" t="s">
        <v>103</v>
      </c>
    </row>
    <row r="33" spans="1:8" x14ac:dyDescent="0.35">
      <c r="A33">
        <v>32</v>
      </c>
      <c r="B33" t="s">
        <v>112</v>
      </c>
      <c r="C33">
        <v>1</v>
      </c>
      <c r="D33">
        <v>5024940670</v>
      </c>
      <c r="E33" t="s">
        <v>113</v>
      </c>
      <c r="G33">
        <v>5024940670</v>
      </c>
      <c r="H33" t="s">
        <v>89</v>
      </c>
    </row>
    <row r="34" spans="1:8" x14ac:dyDescent="0.35">
      <c r="A34">
        <v>33</v>
      </c>
      <c r="B34" t="s">
        <v>114</v>
      </c>
      <c r="C34">
        <v>4</v>
      </c>
      <c r="D34">
        <v>1053131302</v>
      </c>
      <c r="E34" t="s">
        <v>115</v>
      </c>
      <c r="G34">
        <v>1053131302</v>
      </c>
      <c r="H34" t="s">
        <v>89</v>
      </c>
    </row>
    <row r="35" spans="1:8" x14ac:dyDescent="0.35">
      <c r="A35">
        <v>34</v>
      </c>
      <c r="B35" t="s">
        <v>116</v>
      </c>
      <c r="C35">
        <v>1</v>
      </c>
      <c r="D35" t="s">
        <v>117</v>
      </c>
      <c r="E35" t="s">
        <v>118</v>
      </c>
      <c r="G35" t="s">
        <v>119</v>
      </c>
      <c r="H35" t="s">
        <v>86</v>
      </c>
    </row>
    <row r="36" spans="1:8" x14ac:dyDescent="0.35">
      <c r="A36">
        <v>35</v>
      </c>
      <c r="B36" t="s">
        <v>120</v>
      </c>
      <c r="C36">
        <v>1</v>
      </c>
      <c r="D36" t="s">
        <v>121</v>
      </c>
      <c r="E36" t="s">
        <v>122</v>
      </c>
      <c r="G36" t="s">
        <v>123</v>
      </c>
      <c r="H36" t="s">
        <v>124</v>
      </c>
    </row>
    <row r="37" spans="1:8" x14ac:dyDescent="0.35">
      <c r="A37">
        <v>36</v>
      </c>
      <c r="B37" t="s">
        <v>125</v>
      </c>
      <c r="C37">
        <v>12</v>
      </c>
      <c r="D37" t="s">
        <v>126</v>
      </c>
      <c r="E37" t="s">
        <v>127</v>
      </c>
      <c r="G37" t="s">
        <v>126</v>
      </c>
      <c r="H37" t="s">
        <v>128</v>
      </c>
    </row>
    <row r="38" spans="1:8" x14ac:dyDescent="0.35">
      <c r="A38">
        <v>37</v>
      </c>
      <c r="B38" t="s">
        <v>293</v>
      </c>
      <c r="C38">
        <v>4</v>
      </c>
      <c r="D38" t="s">
        <v>130</v>
      </c>
      <c r="E38" t="s">
        <v>131</v>
      </c>
      <c r="G38" t="s">
        <v>130</v>
      </c>
      <c r="H38" t="s">
        <v>132</v>
      </c>
    </row>
    <row r="39" spans="1:8" x14ac:dyDescent="0.35">
      <c r="A39">
        <v>38</v>
      </c>
      <c r="B39" t="s">
        <v>133</v>
      </c>
      <c r="C39">
        <v>1</v>
      </c>
      <c r="D39" t="s">
        <v>134</v>
      </c>
      <c r="E39" t="s">
        <v>135</v>
      </c>
      <c r="G39" t="s">
        <v>134</v>
      </c>
      <c r="H39" t="s">
        <v>136</v>
      </c>
    </row>
    <row r="40" spans="1:8" x14ac:dyDescent="0.35">
      <c r="A40">
        <v>39</v>
      </c>
      <c r="B40" t="s">
        <v>137</v>
      </c>
      <c r="C40">
        <v>13</v>
      </c>
      <c r="D40" t="s">
        <v>138</v>
      </c>
      <c r="E40" t="s">
        <v>139</v>
      </c>
      <c r="G40" t="s">
        <v>138</v>
      </c>
      <c r="H40" t="s">
        <v>140</v>
      </c>
    </row>
    <row r="41" spans="1:8" x14ac:dyDescent="0.35">
      <c r="A41">
        <v>40</v>
      </c>
      <c r="B41" t="s">
        <v>292</v>
      </c>
      <c r="C41">
        <v>2</v>
      </c>
      <c r="D41" t="s">
        <v>142</v>
      </c>
      <c r="E41" t="s">
        <v>143</v>
      </c>
      <c r="G41" t="s">
        <v>144</v>
      </c>
      <c r="H41" t="s">
        <v>145</v>
      </c>
    </row>
    <row r="42" spans="1:8" x14ac:dyDescent="0.35">
      <c r="A42">
        <v>41</v>
      </c>
      <c r="B42" t="s">
        <v>291</v>
      </c>
      <c r="C42">
        <v>19</v>
      </c>
      <c r="D42">
        <v>100</v>
      </c>
      <c r="E42" t="s">
        <v>147</v>
      </c>
      <c r="G42" t="s">
        <v>148</v>
      </c>
      <c r="H42" t="s">
        <v>149</v>
      </c>
    </row>
    <row r="43" spans="1:8" x14ac:dyDescent="0.35">
      <c r="A43">
        <v>42</v>
      </c>
      <c r="B43" t="s">
        <v>150</v>
      </c>
      <c r="C43">
        <v>14</v>
      </c>
      <c r="D43">
        <v>27</v>
      </c>
      <c r="E43" t="s">
        <v>151</v>
      </c>
      <c r="G43" t="s">
        <v>152</v>
      </c>
      <c r="H43" t="s">
        <v>50</v>
      </c>
    </row>
    <row r="44" spans="1:8" x14ac:dyDescent="0.35">
      <c r="A44">
        <v>43</v>
      </c>
      <c r="B44" t="s">
        <v>153</v>
      </c>
      <c r="C44">
        <v>24</v>
      </c>
      <c r="D44">
        <v>15</v>
      </c>
      <c r="E44" t="s">
        <v>154</v>
      </c>
      <c r="G44" t="s">
        <v>155</v>
      </c>
      <c r="H44" t="s">
        <v>156</v>
      </c>
    </row>
    <row r="45" spans="1:8" x14ac:dyDescent="0.35">
      <c r="A45">
        <v>44</v>
      </c>
      <c r="B45" t="s">
        <v>157</v>
      </c>
      <c r="C45">
        <v>15</v>
      </c>
      <c r="D45">
        <v>475</v>
      </c>
      <c r="E45" t="s">
        <v>147</v>
      </c>
      <c r="G45" t="s">
        <v>158</v>
      </c>
      <c r="H45" t="s">
        <v>149</v>
      </c>
    </row>
    <row r="46" spans="1:8" x14ac:dyDescent="0.35">
      <c r="A46">
        <v>45</v>
      </c>
      <c r="B46" t="s">
        <v>290</v>
      </c>
      <c r="C46">
        <v>12</v>
      </c>
      <c r="D46" t="s">
        <v>160</v>
      </c>
      <c r="E46" t="s">
        <v>161</v>
      </c>
      <c r="G46" t="s">
        <v>162</v>
      </c>
      <c r="H46" t="s">
        <v>163</v>
      </c>
    </row>
    <row r="47" spans="1:8" x14ac:dyDescent="0.35">
      <c r="A47">
        <v>46</v>
      </c>
      <c r="B47" t="s">
        <v>164</v>
      </c>
      <c r="C47">
        <v>3</v>
      </c>
      <c r="D47" t="s">
        <v>160</v>
      </c>
      <c r="E47" t="s">
        <v>161</v>
      </c>
      <c r="F47" t="s">
        <v>5</v>
      </c>
      <c r="G47" t="s">
        <v>162</v>
      </c>
      <c r="H47" t="s">
        <v>163</v>
      </c>
    </row>
    <row r="48" spans="1:8" x14ac:dyDescent="0.35">
      <c r="A48">
        <v>47</v>
      </c>
      <c r="B48" t="s">
        <v>289</v>
      </c>
      <c r="C48">
        <v>12</v>
      </c>
      <c r="D48">
        <v>0</v>
      </c>
      <c r="E48" t="s">
        <v>166</v>
      </c>
      <c r="G48" t="s">
        <v>167</v>
      </c>
      <c r="H48" t="s">
        <v>124</v>
      </c>
    </row>
    <row r="49" spans="1:8" x14ac:dyDescent="0.35">
      <c r="A49">
        <v>48</v>
      </c>
      <c r="B49" t="s">
        <v>168</v>
      </c>
      <c r="C49">
        <v>11</v>
      </c>
      <c r="D49">
        <v>0</v>
      </c>
      <c r="E49" t="s">
        <v>166</v>
      </c>
      <c r="F49" t="s">
        <v>5</v>
      </c>
      <c r="G49" t="s">
        <v>167</v>
      </c>
      <c r="H49" t="s">
        <v>124</v>
      </c>
    </row>
    <row r="50" spans="1:8" x14ac:dyDescent="0.35">
      <c r="A50">
        <v>49</v>
      </c>
      <c r="B50" t="s">
        <v>169</v>
      </c>
      <c r="C50">
        <v>1</v>
      </c>
      <c r="D50" t="s">
        <v>170</v>
      </c>
      <c r="E50" t="s">
        <v>171</v>
      </c>
      <c r="G50" t="s">
        <v>172</v>
      </c>
      <c r="H50" t="s">
        <v>173</v>
      </c>
    </row>
    <row r="51" spans="1:8" x14ac:dyDescent="0.35">
      <c r="A51">
        <v>50</v>
      </c>
      <c r="B51" t="s">
        <v>288</v>
      </c>
      <c r="C51">
        <v>7</v>
      </c>
      <c r="D51" t="s">
        <v>175</v>
      </c>
      <c r="E51" t="s">
        <v>151</v>
      </c>
      <c r="G51" t="s">
        <v>176</v>
      </c>
      <c r="H51" t="s">
        <v>50</v>
      </c>
    </row>
    <row r="52" spans="1:8" x14ac:dyDescent="0.35">
      <c r="A52">
        <v>51</v>
      </c>
      <c r="B52" t="s">
        <v>177</v>
      </c>
      <c r="C52">
        <v>1</v>
      </c>
      <c r="D52" t="s">
        <v>178</v>
      </c>
      <c r="E52" t="s">
        <v>179</v>
      </c>
      <c r="G52" t="s">
        <v>180</v>
      </c>
      <c r="H52" t="s">
        <v>50</v>
      </c>
    </row>
    <row r="53" spans="1:8" x14ac:dyDescent="0.35">
      <c r="A53">
        <v>52</v>
      </c>
      <c r="B53" t="s">
        <v>181</v>
      </c>
      <c r="C53">
        <v>2</v>
      </c>
      <c r="D53" t="s">
        <v>182</v>
      </c>
      <c r="E53" t="s">
        <v>179</v>
      </c>
      <c r="G53" t="s">
        <v>183</v>
      </c>
      <c r="H53" t="s">
        <v>50</v>
      </c>
    </row>
    <row r="54" spans="1:8" x14ac:dyDescent="0.35">
      <c r="A54">
        <v>53</v>
      </c>
      <c r="B54" t="s">
        <v>184</v>
      </c>
      <c r="C54">
        <v>1</v>
      </c>
      <c r="D54" t="s">
        <v>185</v>
      </c>
      <c r="E54" t="s">
        <v>151</v>
      </c>
      <c r="G54" t="s">
        <v>186</v>
      </c>
      <c r="H54" t="s">
        <v>50</v>
      </c>
    </row>
    <row r="55" spans="1:8" x14ac:dyDescent="0.35">
      <c r="A55">
        <v>54</v>
      </c>
      <c r="B55" t="s">
        <v>287</v>
      </c>
      <c r="C55">
        <v>1</v>
      </c>
      <c r="D55" t="s">
        <v>188</v>
      </c>
      <c r="E55" t="s">
        <v>179</v>
      </c>
      <c r="G55" t="s">
        <v>189</v>
      </c>
      <c r="H55" t="s">
        <v>50</v>
      </c>
    </row>
    <row r="56" spans="1:8" x14ac:dyDescent="0.35">
      <c r="A56">
        <v>55</v>
      </c>
      <c r="B56" t="s">
        <v>190</v>
      </c>
      <c r="C56">
        <v>1</v>
      </c>
      <c r="D56" t="s">
        <v>191</v>
      </c>
      <c r="E56" t="s">
        <v>192</v>
      </c>
      <c r="G56" t="s">
        <v>193</v>
      </c>
      <c r="H56" t="s">
        <v>124</v>
      </c>
    </row>
    <row r="57" spans="1:8" x14ac:dyDescent="0.35">
      <c r="A57">
        <v>56</v>
      </c>
      <c r="B57" t="s">
        <v>286</v>
      </c>
      <c r="C57">
        <v>1</v>
      </c>
      <c r="D57" t="s">
        <v>285</v>
      </c>
      <c r="E57" t="s">
        <v>151</v>
      </c>
      <c r="G57" t="s">
        <v>284</v>
      </c>
      <c r="H57" t="s">
        <v>50</v>
      </c>
    </row>
    <row r="58" spans="1:8" x14ac:dyDescent="0.35">
      <c r="A58">
        <v>57</v>
      </c>
      <c r="B58" t="s">
        <v>194</v>
      </c>
      <c r="C58">
        <v>1</v>
      </c>
      <c r="D58">
        <v>3.3</v>
      </c>
      <c r="E58" t="s">
        <v>195</v>
      </c>
      <c r="G58" t="s">
        <v>196</v>
      </c>
      <c r="H58" t="s">
        <v>197</v>
      </c>
    </row>
    <row r="59" spans="1:8" x14ac:dyDescent="0.35">
      <c r="A59">
        <v>58</v>
      </c>
      <c r="B59" t="s">
        <v>283</v>
      </c>
      <c r="C59">
        <v>11</v>
      </c>
      <c r="D59" t="s">
        <v>199</v>
      </c>
      <c r="E59" t="s">
        <v>179</v>
      </c>
      <c r="G59" t="s">
        <v>200</v>
      </c>
      <c r="H59" t="s">
        <v>50</v>
      </c>
    </row>
    <row r="60" spans="1:8" x14ac:dyDescent="0.35">
      <c r="A60">
        <v>59</v>
      </c>
      <c r="B60" t="s">
        <v>201</v>
      </c>
      <c r="C60">
        <v>1</v>
      </c>
      <c r="D60" t="s">
        <v>282</v>
      </c>
      <c r="E60" t="s">
        <v>151</v>
      </c>
      <c r="G60" t="s">
        <v>281</v>
      </c>
      <c r="H60" t="s">
        <v>50</v>
      </c>
    </row>
    <row r="61" spans="1:8" x14ac:dyDescent="0.35">
      <c r="A61">
        <v>60</v>
      </c>
      <c r="B61" t="s">
        <v>204</v>
      </c>
      <c r="C61">
        <v>1</v>
      </c>
      <c r="D61" t="s">
        <v>280</v>
      </c>
      <c r="E61" t="s">
        <v>151</v>
      </c>
      <c r="G61" t="s">
        <v>279</v>
      </c>
      <c r="H61" t="s">
        <v>50</v>
      </c>
    </row>
    <row r="62" spans="1:8" x14ac:dyDescent="0.35">
      <c r="A62">
        <v>61</v>
      </c>
      <c r="B62" t="s">
        <v>207</v>
      </c>
      <c r="C62">
        <v>2</v>
      </c>
      <c r="D62" t="s">
        <v>208</v>
      </c>
      <c r="E62" t="s">
        <v>151</v>
      </c>
      <c r="G62" t="s">
        <v>209</v>
      </c>
      <c r="H62" t="s">
        <v>50</v>
      </c>
    </row>
    <row r="63" spans="1:8" x14ac:dyDescent="0.35">
      <c r="A63">
        <v>62</v>
      </c>
      <c r="B63" t="s">
        <v>278</v>
      </c>
      <c r="C63">
        <v>1</v>
      </c>
      <c r="D63">
        <v>300</v>
      </c>
      <c r="E63" t="s">
        <v>154</v>
      </c>
      <c r="G63" t="s">
        <v>277</v>
      </c>
      <c r="H63" t="s">
        <v>156</v>
      </c>
    </row>
    <row r="64" spans="1:8" x14ac:dyDescent="0.35">
      <c r="A64">
        <v>63</v>
      </c>
      <c r="B64" t="s">
        <v>210</v>
      </c>
      <c r="C64">
        <v>2</v>
      </c>
      <c r="D64" t="s">
        <v>276</v>
      </c>
      <c r="E64" t="s">
        <v>275</v>
      </c>
      <c r="G64" t="s">
        <v>274</v>
      </c>
      <c r="H64" t="s">
        <v>214</v>
      </c>
    </row>
    <row r="65" spans="1:8" x14ac:dyDescent="0.35">
      <c r="A65">
        <v>64</v>
      </c>
      <c r="B65" t="s">
        <v>273</v>
      </c>
      <c r="C65">
        <v>2</v>
      </c>
      <c r="D65">
        <v>5261</v>
      </c>
      <c r="E65" t="s">
        <v>216</v>
      </c>
      <c r="G65">
        <v>5261</v>
      </c>
      <c r="H65" t="s">
        <v>217</v>
      </c>
    </row>
    <row r="66" spans="1:8" x14ac:dyDescent="0.35">
      <c r="A66">
        <v>65</v>
      </c>
      <c r="B66" t="s">
        <v>218</v>
      </c>
      <c r="C66">
        <v>21</v>
      </c>
      <c r="D66" t="s">
        <v>219</v>
      </c>
      <c r="E66" t="s">
        <v>220</v>
      </c>
    </row>
    <row r="67" spans="1:8" x14ac:dyDescent="0.35">
      <c r="A67">
        <v>66</v>
      </c>
      <c r="B67" t="s">
        <v>221</v>
      </c>
      <c r="C67">
        <v>1</v>
      </c>
      <c r="D67" t="s">
        <v>222</v>
      </c>
      <c r="E67" t="s">
        <v>223</v>
      </c>
      <c r="G67" t="s">
        <v>222</v>
      </c>
      <c r="H67" t="s">
        <v>224</v>
      </c>
    </row>
    <row r="68" spans="1:8" x14ac:dyDescent="0.35">
      <c r="A68">
        <v>67</v>
      </c>
      <c r="B68" t="s">
        <v>225</v>
      </c>
      <c r="C68">
        <v>1</v>
      </c>
      <c r="D68" t="s">
        <v>226</v>
      </c>
      <c r="E68" t="s">
        <v>227</v>
      </c>
      <c r="G68" t="s">
        <v>226</v>
      </c>
      <c r="H68" t="s">
        <v>224</v>
      </c>
    </row>
    <row r="69" spans="1:8" x14ac:dyDescent="0.35">
      <c r="A69">
        <v>68</v>
      </c>
      <c r="B69" t="s">
        <v>228</v>
      </c>
      <c r="C69">
        <v>1</v>
      </c>
      <c r="D69" t="s">
        <v>229</v>
      </c>
      <c r="E69" t="s">
        <v>230</v>
      </c>
      <c r="G69" t="s">
        <v>229</v>
      </c>
      <c r="H69" t="s">
        <v>231</v>
      </c>
    </row>
    <row r="70" spans="1:8" x14ac:dyDescent="0.35">
      <c r="A70">
        <v>69</v>
      </c>
      <c r="B70" t="s">
        <v>232</v>
      </c>
      <c r="C70">
        <v>1</v>
      </c>
      <c r="D70" t="s">
        <v>233</v>
      </c>
      <c r="E70" t="s">
        <v>234</v>
      </c>
      <c r="G70" t="s">
        <v>233</v>
      </c>
      <c r="H70" t="s">
        <v>235</v>
      </c>
    </row>
    <row r="71" spans="1:8" x14ac:dyDescent="0.35">
      <c r="A71">
        <v>70</v>
      </c>
      <c r="B71" t="s">
        <v>236</v>
      </c>
      <c r="C71">
        <v>1</v>
      </c>
      <c r="D71" t="s">
        <v>237</v>
      </c>
      <c r="E71" t="s">
        <v>238</v>
      </c>
      <c r="G71" t="s">
        <v>237</v>
      </c>
      <c r="H71" t="s">
        <v>140</v>
      </c>
    </row>
    <row r="72" spans="1:8" x14ac:dyDescent="0.35">
      <c r="A72">
        <v>71</v>
      </c>
      <c r="B72" t="s">
        <v>239</v>
      </c>
      <c r="C72">
        <v>1</v>
      </c>
      <c r="D72" t="s">
        <v>240</v>
      </c>
      <c r="E72" t="s">
        <v>241</v>
      </c>
      <c r="G72" t="s">
        <v>242</v>
      </c>
      <c r="H72" t="s">
        <v>243</v>
      </c>
    </row>
    <row r="73" spans="1:8" x14ac:dyDescent="0.35">
      <c r="A73">
        <v>72</v>
      </c>
      <c r="B73" t="s">
        <v>244</v>
      </c>
      <c r="C73">
        <v>1</v>
      </c>
      <c r="D73" t="s">
        <v>245</v>
      </c>
      <c r="E73" t="s">
        <v>246</v>
      </c>
      <c r="G73" t="s">
        <v>245</v>
      </c>
      <c r="H73" t="s">
        <v>224</v>
      </c>
    </row>
    <row r="74" spans="1:8" x14ac:dyDescent="0.35">
      <c r="A74">
        <v>73</v>
      </c>
      <c r="B74" t="s">
        <v>247</v>
      </c>
      <c r="C74">
        <v>1</v>
      </c>
      <c r="D74" t="s">
        <v>248</v>
      </c>
      <c r="E74" t="s">
        <v>249</v>
      </c>
      <c r="G74" t="s">
        <v>248</v>
      </c>
      <c r="H74" t="s">
        <v>250</v>
      </c>
    </row>
    <row r="75" spans="1:8" x14ac:dyDescent="0.35">
      <c r="A75">
        <v>74</v>
      </c>
      <c r="B75" t="s">
        <v>251</v>
      </c>
      <c r="C75">
        <v>1</v>
      </c>
      <c r="D75" t="s">
        <v>252</v>
      </c>
      <c r="E75" t="s">
        <v>253</v>
      </c>
      <c r="G75" t="s">
        <v>252</v>
      </c>
      <c r="H75" t="s">
        <v>250</v>
      </c>
    </row>
    <row r="76" spans="1:8" x14ac:dyDescent="0.35">
      <c r="A76">
        <v>75</v>
      </c>
      <c r="B76" t="s">
        <v>272</v>
      </c>
      <c r="C76">
        <v>1</v>
      </c>
      <c r="D76" t="s">
        <v>270</v>
      </c>
      <c r="E76" t="s">
        <v>271</v>
      </c>
      <c r="G76" t="s">
        <v>270</v>
      </c>
      <c r="H76" t="s">
        <v>140</v>
      </c>
    </row>
    <row r="77" spans="1:8" x14ac:dyDescent="0.35">
      <c r="A77">
        <v>76</v>
      </c>
      <c r="B77" t="s">
        <v>269</v>
      </c>
      <c r="C77">
        <v>2</v>
      </c>
      <c r="D77" t="s">
        <v>267</v>
      </c>
      <c r="E77" t="s">
        <v>268</v>
      </c>
      <c r="G77" t="s">
        <v>267</v>
      </c>
      <c r="H77" t="s">
        <v>224</v>
      </c>
    </row>
    <row r="78" spans="1:8" x14ac:dyDescent="0.35">
      <c r="A78">
        <v>77</v>
      </c>
      <c r="B78" t="s">
        <v>266</v>
      </c>
      <c r="C78">
        <v>1</v>
      </c>
      <c r="D78" t="s">
        <v>264</v>
      </c>
      <c r="E78" t="s">
        <v>265</v>
      </c>
      <c r="G78" t="s">
        <v>264</v>
      </c>
      <c r="H78" t="s">
        <v>140</v>
      </c>
    </row>
    <row r="79" spans="1:8" x14ac:dyDescent="0.35">
      <c r="A79">
        <v>78</v>
      </c>
      <c r="B79" t="s">
        <v>254</v>
      </c>
      <c r="C79">
        <v>1</v>
      </c>
      <c r="D79" t="s">
        <v>255</v>
      </c>
      <c r="E79" t="s">
        <v>256</v>
      </c>
      <c r="G79" t="s">
        <v>255</v>
      </c>
      <c r="H79" t="s">
        <v>257</v>
      </c>
    </row>
    <row r="80" spans="1:8" x14ac:dyDescent="0.35">
      <c r="A80">
        <v>79</v>
      </c>
      <c r="B80" t="s">
        <v>258</v>
      </c>
      <c r="C80">
        <v>1</v>
      </c>
      <c r="D80" t="s">
        <v>259</v>
      </c>
      <c r="E80" t="s">
        <v>260</v>
      </c>
      <c r="G80" t="s">
        <v>259</v>
      </c>
      <c r="H80" t="s">
        <v>19</v>
      </c>
    </row>
    <row r="81" spans="1:8" x14ac:dyDescent="0.35">
      <c r="A81">
        <v>80</v>
      </c>
      <c r="B81" t="s">
        <v>261</v>
      </c>
      <c r="C81">
        <v>12</v>
      </c>
      <c r="D81" t="s">
        <v>262</v>
      </c>
      <c r="E81" t="s">
        <v>263</v>
      </c>
      <c r="G81" t="s">
        <v>262</v>
      </c>
      <c r="H81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1CA2-E070-46ED-BE37-FB8915D48FB2}">
  <dimension ref="A1:T81"/>
  <sheetViews>
    <sheetView tabSelected="1" topLeftCell="G1" zoomScale="97" workbookViewId="0">
      <selection activeCell="K26" sqref="K26"/>
    </sheetView>
  </sheetViews>
  <sheetFormatPr defaultRowHeight="14.5" x14ac:dyDescent="0.35"/>
  <cols>
    <col min="1" max="1" width="4" customWidth="1"/>
    <col min="2" max="2" width="19.08984375" customWidth="1"/>
    <col min="3" max="3" width="5.90625" customWidth="1"/>
    <col min="4" max="4" width="20.81640625" bestFit="1" customWidth="1"/>
    <col min="5" max="5" width="6.54296875" customWidth="1"/>
    <col min="6" max="6" width="25.08984375" customWidth="1"/>
    <col min="7" max="7" width="31.54296875" bestFit="1" customWidth="1"/>
    <col min="9" max="9" width="13.81640625" bestFit="1" customWidth="1"/>
    <col min="10" max="10" width="8.81640625" bestFit="1" customWidth="1"/>
    <col min="11" max="11" width="20.26953125" customWidth="1"/>
    <col min="12" max="12" width="10.36328125" customWidth="1"/>
    <col min="14" max="14" width="11.36328125" customWidth="1"/>
    <col min="15" max="15" width="7.26953125" bestFit="1" customWidth="1"/>
    <col min="16" max="16" width="20.90625" bestFit="1" customWidth="1"/>
    <col min="17" max="17" width="11.26953125" bestFit="1" customWidth="1"/>
    <col min="18" max="18" width="28.54296875" bestFit="1" customWidth="1"/>
    <col min="19" max="19" width="20.81640625" customWidth="1"/>
    <col min="20" max="20" width="32.1796875" bestFit="1" customWidth="1"/>
    <col min="21" max="21" width="32.0898437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I1" t="s">
        <v>313</v>
      </c>
      <c r="J1" t="s">
        <v>315</v>
      </c>
      <c r="K1" t="s">
        <v>316</v>
      </c>
      <c r="M1" t="s">
        <v>0</v>
      </c>
      <c r="N1" t="s">
        <v>1</v>
      </c>
      <c r="O1" t="s">
        <v>2</v>
      </c>
      <c r="P1" t="s">
        <v>3</v>
      </c>
      <c r="Q1" t="s">
        <v>5</v>
      </c>
      <c r="R1" t="s">
        <v>317</v>
      </c>
      <c r="S1" t="s">
        <v>6</v>
      </c>
      <c r="T1" t="s">
        <v>7</v>
      </c>
    </row>
    <row r="2" spans="1:20" x14ac:dyDescent="0.35">
      <c r="A2" s="3">
        <v>1</v>
      </c>
      <c r="B2" s="3" t="s">
        <v>8</v>
      </c>
      <c r="C2" s="3">
        <v>1</v>
      </c>
      <c r="D2" s="3" t="s">
        <v>9</v>
      </c>
      <c r="E2" s="3"/>
      <c r="F2" s="3" t="s">
        <v>11</v>
      </c>
      <c r="G2" s="3" t="s">
        <v>12</v>
      </c>
      <c r="I2" t="str" cm="1">
        <f t="array" ref="I2" xml:space="preserve"> IF(AND(A2:G2=""), "NEW", IF(EXACT(F2,S2), "SAME", "SWAPPED"))</f>
        <v>SAME</v>
      </c>
      <c r="J2">
        <f>IF(I2="SAME", Table3[[#This Row],[Qty]]-Table1[[#This Row],[Qty]], Table3[[#This Row],[Qty]])</f>
        <v>0</v>
      </c>
      <c r="K2" t="str">
        <f>IF(J2&gt;0, J2*10, "")</f>
        <v/>
      </c>
      <c r="M2">
        <v>1</v>
      </c>
      <c r="N2" t="s">
        <v>8</v>
      </c>
      <c r="O2">
        <v>1</v>
      </c>
      <c r="P2" t="s">
        <v>9</v>
      </c>
      <c r="R2" t="str">
        <f>K2</f>
        <v/>
      </c>
      <c r="S2" t="s">
        <v>11</v>
      </c>
      <c r="T2" t="s">
        <v>12</v>
      </c>
    </row>
    <row r="3" spans="1:20" x14ac:dyDescent="0.35">
      <c r="A3" s="3">
        <v>2</v>
      </c>
      <c r="B3" s="3" t="s">
        <v>13</v>
      </c>
      <c r="C3" s="3">
        <v>1</v>
      </c>
      <c r="D3" s="3" t="s">
        <v>9</v>
      </c>
      <c r="E3" s="3"/>
      <c r="F3" s="3" t="s">
        <v>11</v>
      </c>
      <c r="G3" s="3" t="s">
        <v>12</v>
      </c>
      <c r="I3" t="str" cm="1">
        <f t="array" ref="I3" xml:space="preserve"> IF(AND(A3:G3=""), "NEW", IF(EXACT(F3,S3), "SAME", "SWAPPED"))</f>
        <v>SAME</v>
      </c>
      <c r="J3">
        <f>IF(I3="SAME", Table3[[#This Row],[Qty]]-Table1[[#This Row],[Qty]], Table3[[#This Row],[Qty]])</f>
        <v>0</v>
      </c>
      <c r="K3" t="str">
        <f t="shared" ref="K3:K66" si="0">IF(J3&gt;0, J3*10, "")</f>
        <v/>
      </c>
      <c r="M3">
        <v>2</v>
      </c>
      <c r="N3" t="s">
        <v>13</v>
      </c>
      <c r="O3">
        <v>1</v>
      </c>
      <c r="P3" t="s">
        <v>9</v>
      </c>
      <c r="R3" t="str">
        <f>K3</f>
        <v/>
      </c>
      <c r="S3" t="s">
        <v>11</v>
      </c>
      <c r="T3" t="s">
        <v>12</v>
      </c>
    </row>
    <row r="4" spans="1:20" x14ac:dyDescent="0.35">
      <c r="A4" s="3">
        <v>3</v>
      </c>
      <c r="B4" s="3" t="s">
        <v>15</v>
      </c>
      <c r="C4" s="3">
        <v>39</v>
      </c>
      <c r="D4" s="3" t="s">
        <v>16</v>
      </c>
      <c r="E4" s="3"/>
      <c r="F4" s="3" t="s">
        <v>18</v>
      </c>
      <c r="G4" s="3" t="s">
        <v>19</v>
      </c>
      <c r="I4" t="str" cm="1">
        <f t="array" ref="I4" xml:space="preserve"> IF(AND(A4:G4=""), "NEW", IF(EXACT(F4,S4), "SAME", "SWAPPED"))</f>
        <v>SAME</v>
      </c>
      <c r="J4">
        <f>IF(I4="SAME", Table3[[#This Row],[Qty]]-Table1[[#This Row],[Qty]], Table3[[#This Row],[Qty]])</f>
        <v>1</v>
      </c>
      <c r="K4">
        <f t="shared" si="0"/>
        <v>10</v>
      </c>
      <c r="M4">
        <v>3</v>
      </c>
      <c r="N4" t="s">
        <v>312</v>
      </c>
      <c r="O4">
        <v>40</v>
      </c>
      <c r="P4" t="s">
        <v>16</v>
      </c>
      <c r="R4">
        <f>K4</f>
        <v>10</v>
      </c>
      <c r="S4" t="s">
        <v>18</v>
      </c>
      <c r="T4" t="s">
        <v>19</v>
      </c>
    </row>
    <row r="5" spans="1:20" x14ac:dyDescent="0.35">
      <c r="A5" s="3">
        <v>4</v>
      </c>
      <c r="B5" s="3" t="s">
        <v>20</v>
      </c>
      <c r="C5" s="3">
        <v>7</v>
      </c>
      <c r="D5" s="3" t="s">
        <v>21</v>
      </c>
      <c r="E5" s="3"/>
      <c r="F5" s="3" t="s">
        <v>23</v>
      </c>
      <c r="G5" s="3" t="s">
        <v>19</v>
      </c>
      <c r="I5" t="str" cm="1">
        <f t="array" ref="I5" xml:space="preserve"> IF(AND(A5:G5=""), "NEW", IF(EXACT(F5,S5), "SAME", "SWAPPED"))</f>
        <v>SAME</v>
      </c>
      <c r="J5">
        <f>IF(I5="SAME", Table3[[#This Row],[Qty]]-Table1[[#This Row],[Qty]], Table3[[#This Row],[Qty]])</f>
        <v>4</v>
      </c>
      <c r="K5">
        <f t="shared" si="0"/>
        <v>40</v>
      </c>
      <c r="M5">
        <v>4</v>
      </c>
      <c r="N5" t="s">
        <v>314</v>
      </c>
      <c r="O5">
        <v>11</v>
      </c>
      <c r="P5" t="s">
        <v>21</v>
      </c>
      <c r="R5">
        <f>K5</f>
        <v>40</v>
      </c>
      <c r="S5" t="s">
        <v>23</v>
      </c>
      <c r="T5" t="s">
        <v>19</v>
      </c>
    </row>
    <row r="6" spans="1:20" x14ac:dyDescent="0.35">
      <c r="A6" s="3">
        <v>5</v>
      </c>
      <c r="B6" s="3" t="s">
        <v>24</v>
      </c>
      <c r="C6" s="3">
        <v>4</v>
      </c>
      <c r="D6" s="3" t="s">
        <v>21</v>
      </c>
      <c r="E6" s="3"/>
      <c r="F6" s="3" t="s">
        <v>26</v>
      </c>
      <c r="G6" s="3" t="s">
        <v>27</v>
      </c>
      <c r="I6" t="str" cm="1">
        <f t="array" ref="I6" xml:space="preserve"> IF(AND(A6:G6=""), "NEW", IF(EXACT(F6,S6), "SAME", "SWAPPED"))</f>
        <v>SAME</v>
      </c>
      <c r="J6">
        <f>IF(I6="SAME", Table3[[#This Row],[Qty]]-Table1[[#This Row],[Qty]], Table3[[#This Row],[Qty]])</f>
        <v>1</v>
      </c>
      <c r="K6">
        <f t="shared" si="0"/>
        <v>10</v>
      </c>
      <c r="M6">
        <v>5</v>
      </c>
      <c r="N6" t="s">
        <v>311</v>
      </c>
      <c r="O6">
        <v>5</v>
      </c>
      <c r="P6" t="s">
        <v>21</v>
      </c>
      <c r="R6">
        <f>K6</f>
        <v>10</v>
      </c>
      <c r="S6" t="s">
        <v>26</v>
      </c>
      <c r="T6" t="s">
        <v>27</v>
      </c>
    </row>
    <row r="7" spans="1:20" x14ac:dyDescent="0.35">
      <c r="A7" s="3">
        <v>6</v>
      </c>
      <c r="B7" s="3" t="s">
        <v>28</v>
      </c>
      <c r="C7" s="3">
        <v>3</v>
      </c>
      <c r="D7" s="3" t="s">
        <v>29</v>
      </c>
      <c r="E7" s="3"/>
      <c r="F7" s="3" t="s">
        <v>31</v>
      </c>
      <c r="G7" s="3" t="s">
        <v>32</v>
      </c>
      <c r="I7" t="str" cm="1">
        <f t="array" ref="I7" xml:space="preserve"> IF(AND(A7:G7=""), "NEW", IF(EXACT(F7,S7), "SAME", "SWAPPED"))</f>
        <v>SAME</v>
      </c>
      <c r="J7">
        <f>IF(I7="SAME", Table3[[#This Row],[Qty]]-Table1[[#This Row],[Qty]], Table3[[#This Row],[Qty]])</f>
        <v>0</v>
      </c>
      <c r="K7" t="str">
        <f t="shared" si="0"/>
        <v/>
      </c>
      <c r="M7">
        <v>6</v>
      </c>
      <c r="N7" t="s">
        <v>28</v>
      </c>
      <c r="O7">
        <v>3</v>
      </c>
      <c r="P7" t="s">
        <v>29</v>
      </c>
      <c r="R7" t="str">
        <f>K7</f>
        <v/>
      </c>
      <c r="S7" t="s">
        <v>31</v>
      </c>
      <c r="T7" t="s">
        <v>32</v>
      </c>
    </row>
    <row r="8" spans="1:20" x14ac:dyDescent="0.35">
      <c r="A8" s="3">
        <v>7</v>
      </c>
      <c r="B8" s="3" t="s">
        <v>33</v>
      </c>
      <c r="C8" s="3">
        <v>4</v>
      </c>
      <c r="D8" s="3" t="s">
        <v>34</v>
      </c>
      <c r="E8" s="3"/>
      <c r="F8" s="3" t="s">
        <v>36</v>
      </c>
      <c r="G8" s="3" t="s">
        <v>19</v>
      </c>
      <c r="I8" t="str" cm="1">
        <f t="array" ref="I8" xml:space="preserve"> IF(AND(A8:G8=""), "NEW", IF(EXACT(F8,S8), "SAME", "SWAPPED"))</f>
        <v>SAME</v>
      </c>
      <c r="J8">
        <f>IF(I8="SAME", Table3[[#This Row],[Qty]]-Table1[[#This Row],[Qty]], Table3[[#This Row],[Qty]])</f>
        <v>0</v>
      </c>
      <c r="K8" t="str">
        <f t="shared" si="0"/>
        <v/>
      </c>
      <c r="M8">
        <v>7</v>
      </c>
      <c r="N8" t="s">
        <v>33</v>
      </c>
      <c r="O8">
        <v>4</v>
      </c>
      <c r="P8" t="s">
        <v>34</v>
      </c>
      <c r="R8" t="str">
        <f>K8</f>
        <v/>
      </c>
      <c r="S8" t="s">
        <v>36</v>
      </c>
      <c r="T8" t="s">
        <v>19</v>
      </c>
    </row>
    <row r="9" spans="1:20" x14ac:dyDescent="0.35">
      <c r="A9" s="3">
        <v>8</v>
      </c>
      <c r="B9" s="3" t="s">
        <v>37</v>
      </c>
      <c r="C9" s="3">
        <v>7</v>
      </c>
      <c r="D9" s="3" t="s">
        <v>38</v>
      </c>
      <c r="E9" s="3"/>
      <c r="F9" s="3" t="s">
        <v>40</v>
      </c>
      <c r="G9" s="3" t="s">
        <v>19</v>
      </c>
      <c r="I9" t="str" cm="1">
        <f t="array" ref="I9" xml:space="preserve"> IF(AND(A9:G9=""), "NEW", IF(EXACT(F9,S9), "SAME", "SWAPPED"))</f>
        <v>SAME</v>
      </c>
      <c r="J9">
        <f>IF(I9="SAME", Table3[[#This Row],[Qty]]-Table1[[#This Row],[Qty]], Table3[[#This Row],[Qty]])</f>
        <v>0</v>
      </c>
      <c r="K9" t="str">
        <f t="shared" si="0"/>
        <v/>
      </c>
      <c r="M9">
        <v>8</v>
      </c>
      <c r="N9" t="s">
        <v>37</v>
      </c>
      <c r="O9">
        <v>7</v>
      </c>
      <c r="P9" t="s">
        <v>38</v>
      </c>
      <c r="R9" t="str">
        <f>K9</f>
        <v/>
      </c>
      <c r="S9" t="s">
        <v>40</v>
      </c>
      <c r="T9" t="s">
        <v>19</v>
      </c>
    </row>
    <row r="10" spans="1:20" x14ac:dyDescent="0.35">
      <c r="A10" s="3">
        <v>9</v>
      </c>
      <c r="B10" s="3" t="s">
        <v>41</v>
      </c>
      <c r="C10" s="3">
        <v>1</v>
      </c>
      <c r="D10" s="3" t="s">
        <v>42</v>
      </c>
      <c r="E10" s="3"/>
      <c r="F10" s="3" t="s">
        <v>44</v>
      </c>
      <c r="G10" s="3" t="s">
        <v>45</v>
      </c>
      <c r="I10" t="str" cm="1">
        <f t="array" ref="I10" xml:space="preserve"> IF(AND(A10:G10=""), "NEW", IF(EXACT(F10,S10), "SAME", "SWAPPED"))</f>
        <v>SWAPPED</v>
      </c>
      <c r="J10">
        <f>IF(I10="SAME", Table3[[#This Row],[Qty]]-Table1[[#This Row],[Qty]], Table3[[#This Row],[Qty]])</f>
        <v>1</v>
      </c>
      <c r="K10">
        <f t="shared" si="0"/>
        <v>10</v>
      </c>
      <c r="M10">
        <v>9</v>
      </c>
      <c r="N10" t="s">
        <v>41</v>
      </c>
      <c r="O10">
        <v>1</v>
      </c>
      <c r="P10" t="s">
        <v>310</v>
      </c>
      <c r="R10">
        <f>K10</f>
        <v>10</v>
      </c>
      <c r="S10" t="s">
        <v>308</v>
      </c>
      <c r="T10" t="s">
        <v>294</v>
      </c>
    </row>
    <row r="11" spans="1:20" x14ac:dyDescent="0.35">
      <c r="A11" s="3">
        <v>10</v>
      </c>
      <c r="B11" s="3" t="s">
        <v>46</v>
      </c>
      <c r="C11" s="3">
        <v>1</v>
      </c>
      <c r="D11" s="3" t="s">
        <v>47</v>
      </c>
      <c r="E11" s="3"/>
      <c r="F11" s="3" t="s">
        <v>49</v>
      </c>
      <c r="G11" s="3" t="s">
        <v>50</v>
      </c>
      <c r="I11" t="str" cm="1">
        <f t="array" ref="I11" xml:space="preserve"> IF(AND(A11:G11=""), "NEW", IF(EXACT(F11,S11), "SAME", "SWAPPED"))</f>
        <v>SAME</v>
      </c>
      <c r="J11">
        <f>IF(I11="SAME", Table3[[#This Row],[Qty]]-Table1[[#This Row],[Qty]], Table3[[#This Row],[Qty]])</f>
        <v>0</v>
      </c>
      <c r="K11" t="str">
        <f t="shared" si="0"/>
        <v/>
      </c>
      <c r="M11">
        <v>10</v>
      </c>
      <c r="N11" t="s">
        <v>46</v>
      </c>
      <c r="O11">
        <v>1</v>
      </c>
      <c r="P11" t="s">
        <v>47</v>
      </c>
      <c r="R11" t="str">
        <f>K11</f>
        <v/>
      </c>
      <c r="S11" t="s">
        <v>49</v>
      </c>
      <c r="T11" t="s">
        <v>50</v>
      </c>
    </row>
    <row r="12" spans="1:20" x14ac:dyDescent="0.35">
      <c r="A12" s="3">
        <v>11</v>
      </c>
      <c r="B12" s="3" t="s">
        <v>51</v>
      </c>
      <c r="C12" s="3">
        <v>1</v>
      </c>
      <c r="D12" s="3" t="s">
        <v>52</v>
      </c>
      <c r="E12" s="3"/>
      <c r="F12" s="3" t="s">
        <v>54</v>
      </c>
      <c r="G12" s="3" t="s">
        <v>55</v>
      </c>
      <c r="I12" t="str" cm="1">
        <f t="array" ref="I12" xml:space="preserve"> IF(AND(A12:G12=""), "NEW", IF(EXACT(F12,S12), "SAME", "SWAPPED"))</f>
        <v>SAME</v>
      </c>
      <c r="J12">
        <f>IF(I12="SAME", Table3[[#This Row],[Qty]]-Table1[[#This Row],[Qty]], Table3[[#This Row],[Qty]])</f>
        <v>0</v>
      </c>
      <c r="K12" t="str">
        <f t="shared" si="0"/>
        <v/>
      </c>
      <c r="M12">
        <v>11</v>
      </c>
      <c r="N12" t="s">
        <v>51</v>
      </c>
      <c r="O12">
        <v>1</v>
      </c>
      <c r="P12" t="s">
        <v>52</v>
      </c>
      <c r="R12" t="str">
        <f>K12</f>
        <v/>
      </c>
      <c r="S12" t="s">
        <v>54</v>
      </c>
      <c r="T12" t="s">
        <v>55</v>
      </c>
    </row>
    <row r="13" spans="1:20" x14ac:dyDescent="0.35">
      <c r="A13" s="3">
        <v>12</v>
      </c>
      <c r="B13" s="3" t="s">
        <v>56</v>
      </c>
      <c r="C13" s="3">
        <v>1</v>
      </c>
      <c r="D13" s="3" t="s">
        <v>57</v>
      </c>
      <c r="E13" s="3"/>
      <c r="F13" s="3" t="s">
        <v>58</v>
      </c>
      <c r="G13" s="3" t="s">
        <v>19</v>
      </c>
      <c r="I13" t="str" cm="1">
        <f t="array" ref="I13" xml:space="preserve"> IF(AND(A13:G13=""), "NEW", IF(EXACT(F13,S13), "SAME", "SWAPPED"))</f>
        <v>SAME</v>
      </c>
      <c r="J13">
        <f>IF(I13="SAME", Table3[[#This Row],[Qty]]-Table1[[#This Row],[Qty]], Table3[[#This Row],[Qty]])</f>
        <v>0</v>
      </c>
      <c r="K13" t="str">
        <f t="shared" si="0"/>
        <v/>
      </c>
      <c r="M13">
        <v>12</v>
      </c>
      <c r="N13" t="s">
        <v>56</v>
      </c>
      <c r="O13">
        <v>1</v>
      </c>
      <c r="P13" t="s">
        <v>57</v>
      </c>
      <c r="R13" t="str">
        <f>K13</f>
        <v/>
      </c>
      <c r="S13" t="s">
        <v>58</v>
      </c>
      <c r="T13" t="s">
        <v>19</v>
      </c>
    </row>
    <row r="14" spans="1:20" x14ac:dyDescent="0.35">
      <c r="A14" s="3">
        <v>13</v>
      </c>
      <c r="B14" s="3" t="s">
        <v>59</v>
      </c>
      <c r="C14" s="3">
        <v>15</v>
      </c>
      <c r="D14" s="3" t="s">
        <v>60</v>
      </c>
      <c r="E14" s="3"/>
      <c r="F14" s="3" t="s">
        <v>62</v>
      </c>
      <c r="G14" s="3" t="s">
        <v>19</v>
      </c>
      <c r="I14" t="str" cm="1">
        <f t="array" ref="I14" xml:space="preserve"> IF(AND(A14:G14=""), "NEW", IF(EXACT(F14,S14), "SAME", "SWAPPED"))</f>
        <v>SAME</v>
      </c>
      <c r="J14">
        <f>IF(I14="SAME", Table3[[#This Row],[Qty]]-Table1[[#This Row],[Qty]], Table3[[#This Row],[Qty]])</f>
        <v>0</v>
      </c>
      <c r="K14" t="str">
        <f t="shared" si="0"/>
        <v/>
      </c>
      <c r="M14">
        <v>13</v>
      </c>
      <c r="N14" t="s">
        <v>59</v>
      </c>
      <c r="O14">
        <v>15</v>
      </c>
      <c r="P14" t="s">
        <v>60</v>
      </c>
      <c r="R14" t="str">
        <f>K14</f>
        <v/>
      </c>
      <c r="S14" t="s">
        <v>62</v>
      </c>
      <c r="T14" t="s">
        <v>19</v>
      </c>
    </row>
    <row r="15" spans="1:20" x14ac:dyDescent="0.35">
      <c r="A15" s="3">
        <v>14</v>
      </c>
      <c r="B15" s="3" t="s">
        <v>63</v>
      </c>
      <c r="C15" s="3">
        <v>2</v>
      </c>
      <c r="D15" s="3" t="s">
        <v>64</v>
      </c>
      <c r="E15" s="3"/>
      <c r="F15" s="3" t="s">
        <v>66</v>
      </c>
      <c r="G15" s="3" t="s">
        <v>50</v>
      </c>
      <c r="I15" t="str" cm="1">
        <f t="array" ref="I15" xml:space="preserve"> IF(AND(A15:G15=""), "NEW", IF(EXACT(F15,S15), "SAME", "SWAPPED"))</f>
        <v>SAME</v>
      </c>
      <c r="J15">
        <f>IF(I15="SAME", Table3[[#This Row],[Qty]]-Table1[[#This Row],[Qty]], Table3[[#This Row],[Qty]])</f>
        <v>0</v>
      </c>
      <c r="K15" t="str">
        <f t="shared" si="0"/>
        <v/>
      </c>
      <c r="M15">
        <v>14</v>
      </c>
      <c r="N15" t="s">
        <v>63</v>
      </c>
      <c r="O15">
        <v>2</v>
      </c>
      <c r="P15" t="s">
        <v>64</v>
      </c>
      <c r="R15" t="str">
        <f>K15</f>
        <v/>
      </c>
      <c r="S15" t="s">
        <v>66</v>
      </c>
      <c r="T15" t="s">
        <v>50</v>
      </c>
    </row>
    <row r="16" spans="1:20" x14ac:dyDescent="0.35">
      <c r="A16" s="3">
        <v>15</v>
      </c>
      <c r="B16" s="3" t="s">
        <v>67</v>
      </c>
      <c r="C16" s="3">
        <v>2</v>
      </c>
      <c r="D16" s="3" t="s">
        <v>68</v>
      </c>
      <c r="E16" s="3"/>
      <c r="F16" s="3" t="s">
        <v>70</v>
      </c>
      <c r="G16" s="3" t="s">
        <v>27</v>
      </c>
      <c r="I16" t="str" cm="1">
        <f t="array" ref="I16" xml:space="preserve"> IF(AND(A16:G16=""), "NEW", IF(EXACT(F16,S16), "SAME", "SWAPPED"))</f>
        <v>SAME</v>
      </c>
      <c r="J16">
        <f>IF(I16="SAME", Table3[[#This Row],[Qty]]-Table1[[#This Row],[Qty]], Table3[[#This Row],[Qty]])</f>
        <v>1</v>
      </c>
      <c r="K16">
        <f t="shared" si="0"/>
        <v>10</v>
      </c>
      <c r="M16">
        <v>15</v>
      </c>
      <c r="N16" t="s">
        <v>307</v>
      </c>
      <c r="O16">
        <v>3</v>
      </c>
      <c r="P16" t="s">
        <v>68</v>
      </c>
      <c r="R16">
        <f>K16</f>
        <v>10</v>
      </c>
      <c r="S16" t="s">
        <v>70</v>
      </c>
      <c r="T16" t="s">
        <v>27</v>
      </c>
    </row>
    <row r="17" spans="1:20" x14ac:dyDescent="0.35">
      <c r="A17" s="3"/>
      <c r="B17" s="3"/>
      <c r="C17" s="3"/>
      <c r="D17" s="3"/>
      <c r="E17" s="3"/>
      <c r="F17" s="3"/>
      <c r="G17" s="3"/>
      <c r="I17" t="str" cm="1">
        <f t="array" ref="I17" xml:space="preserve"> IF(AND(A17:G17=""), "NEW", IF(EXACT(F17,S17), "SAME", "SWAPPED"))</f>
        <v>NEW</v>
      </c>
      <c r="J17">
        <f>IF(I17="SAME", Table3[[#This Row],[Qty]]-Table1[[#This Row],[Qty]], Table3[[#This Row],[Qty]])</f>
        <v>1</v>
      </c>
      <c r="K17">
        <f t="shared" si="0"/>
        <v>10</v>
      </c>
      <c r="M17">
        <v>16</v>
      </c>
      <c r="N17" t="s">
        <v>306</v>
      </c>
      <c r="O17">
        <v>1</v>
      </c>
      <c r="P17" t="s">
        <v>29</v>
      </c>
      <c r="Q17" t="s">
        <v>5</v>
      </c>
      <c r="R17">
        <f>K17</f>
        <v>10</v>
      </c>
      <c r="S17" t="s">
        <v>31</v>
      </c>
      <c r="T17" t="s">
        <v>32</v>
      </c>
    </row>
    <row r="18" spans="1:20" x14ac:dyDescent="0.35">
      <c r="A18" s="3"/>
      <c r="B18" s="3"/>
      <c r="C18" s="3"/>
      <c r="D18" s="3"/>
      <c r="E18" s="3"/>
      <c r="F18" s="3"/>
      <c r="G18" s="3"/>
      <c r="I18" t="str" cm="1">
        <f t="array" ref="I18" xml:space="preserve"> IF(AND(A18:G18=""), "NEW", IF(EXACT(F18,S18), "SAME", "SWAPPED"))</f>
        <v>NEW</v>
      </c>
      <c r="J18">
        <f>IF(I18="SAME", Table3[[#This Row],[Qty]]-Table1[[#This Row],[Qty]], Table3[[#This Row],[Qty]])</f>
        <v>1</v>
      </c>
      <c r="K18">
        <f t="shared" si="0"/>
        <v>10</v>
      </c>
      <c r="M18">
        <v>17</v>
      </c>
      <c r="N18" t="s">
        <v>305</v>
      </c>
      <c r="O18">
        <v>1</v>
      </c>
      <c r="P18" t="s">
        <v>304</v>
      </c>
      <c r="R18">
        <f>K18</f>
        <v>10</v>
      </c>
      <c r="S18" t="s">
        <v>302</v>
      </c>
      <c r="T18" t="s">
        <v>50</v>
      </c>
    </row>
    <row r="19" spans="1:20" x14ac:dyDescent="0.35">
      <c r="A19" s="3">
        <v>16</v>
      </c>
      <c r="B19" s="3" t="s">
        <v>71</v>
      </c>
      <c r="C19" s="3">
        <v>3</v>
      </c>
      <c r="D19" s="3" t="s">
        <v>72</v>
      </c>
      <c r="E19" s="3"/>
      <c r="F19" s="3" t="s">
        <v>72</v>
      </c>
      <c r="G19" s="3" t="s">
        <v>74</v>
      </c>
      <c r="I19" t="str" cm="1">
        <f t="array" ref="I19" xml:space="preserve"> IF(AND(A19:G19=""), "NEW", IF(EXACT(F19,S19), "SAME", "SWAPPED"))</f>
        <v>SAME</v>
      </c>
      <c r="J19">
        <f>IF(I19="SAME", Table3[[#This Row],[Qty]]-Table1[[#This Row],[Qty]], Table3[[#This Row],[Qty]])</f>
        <v>-2</v>
      </c>
      <c r="K19" t="str">
        <f t="shared" si="0"/>
        <v/>
      </c>
      <c r="M19">
        <v>18</v>
      </c>
      <c r="N19" t="s">
        <v>301</v>
      </c>
      <c r="O19">
        <v>1</v>
      </c>
      <c r="P19" t="s">
        <v>72</v>
      </c>
      <c r="R19" t="str">
        <f>K19</f>
        <v/>
      </c>
      <c r="S19" t="s">
        <v>72</v>
      </c>
      <c r="T19" t="s">
        <v>74</v>
      </c>
    </row>
    <row r="20" spans="1:20" x14ac:dyDescent="0.35">
      <c r="A20" s="3">
        <v>17</v>
      </c>
      <c r="B20" s="3" t="s">
        <v>75</v>
      </c>
      <c r="C20" s="3">
        <v>4</v>
      </c>
      <c r="D20" s="3" t="s">
        <v>76</v>
      </c>
      <c r="E20" s="3"/>
      <c r="F20" s="3" t="s">
        <v>78</v>
      </c>
      <c r="G20" s="3" t="s">
        <v>79</v>
      </c>
      <c r="I20" t="str" cm="1">
        <f t="array" ref="I20" xml:space="preserve"> IF(AND(A20:G20=""), "NEW", IF(EXACT(F20,S20), "SAME", "SWAPPED"))</f>
        <v>SAME</v>
      </c>
      <c r="J20">
        <f>IF(I20="SAME", Table3[[#This Row],[Qty]]-Table1[[#This Row],[Qty]], Table3[[#This Row],[Qty]])</f>
        <v>2</v>
      </c>
      <c r="K20">
        <f t="shared" si="0"/>
        <v>20</v>
      </c>
      <c r="M20">
        <v>19</v>
      </c>
      <c r="N20" t="s">
        <v>300</v>
      </c>
      <c r="O20">
        <v>6</v>
      </c>
      <c r="P20" t="s">
        <v>76</v>
      </c>
      <c r="R20">
        <f>K20</f>
        <v>20</v>
      </c>
      <c r="S20" t="s">
        <v>78</v>
      </c>
      <c r="T20" t="s">
        <v>79</v>
      </c>
    </row>
    <row r="21" spans="1:20" x14ac:dyDescent="0.35">
      <c r="A21" s="3"/>
      <c r="B21" s="3"/>
      <c r="C21" s="3"/>
      <c r="D21" s="3"/>
      <c r="E21" s="3"/>
      <c r="F21" s="3"/>
      <c r="G21" s="3"/>
      <c r="I21" t="str" cm="1">
        <f t="array" ref="I21" xml:space="preserve"> IF(AND(A21:G21=""), "NEW", IF(EXACT(F21,S21), "SAME", "SWAPPED"))</f>
        <v>NEW</v>
      </c>
      <c r="J21">
        <f>IF(I21="SAME", Table3[[#This Row],[Qty]]-Table1[[#This Row],[Qty]], Table3[[#This Row],[Qty]])</f>
        <v>4</v>
      </c>
      <c r="K21">
        <f t="shared" si="0"/>
        <v>40</v>
      </c>
      <c r="M21">
        <v>20</v>
      </c>
      <c r="N21" t="s">
        <v>299</v>
      </c>
      <c r="O21">
        <v>4</v>
      </c>
      <c r="P21" t="s">
        <v>298</v>
      </c>
      <c r="R21">
        <f>K21</f>
        <v>40</v>
      </c>
      <c r="S21" t="s">
        <v>298</v>
      </c>
      <c r="T21" t="s">
        <v>294</v>
      </c>
    </row>
    <row r="22" spans="1:20" x14ac:dyDescent="0.35">
      <c r="A22" s="3"/>
      <c r="B22" s="3"/>
      <c r="C22" s="3"/>
      <c r="D22" s="3"/>
      <c r="E22" s="3"/>
      <c r="F22" s="3"/>
      <c r="G22" s="3"/>
      <c r="I22" t="str" cm="1">
        <f t="array" ref="I22" xml:space="preserve"> IF(AND(A22:G22=""), "NEW", IF(EXACT(F22,S22), "SAME", "SWAPPED"))</f>
        <v>NEW</v>
      </c>
      <c r="J22">
        <f>IF(I22="SAME", Table3[[#This Row],[Qty]]-Table1[[#This Row],[Qty]], Table3[[#This Row],[Qty]])</f>
        <v>9</v>
      </c>
      <c r="K22">
        <f t="shared" si="0"/>
        <v>90</v>
      </c>
      <c r="M22">
        <v>21</v>
      </c>
      <c r="N22" t="s">
        <v>297</v>
      </c>
      <c r="O22">
        <v>9</v>
      </c>
      <c r="P22" t="s">
        <v>295</v>
      </c>
      <c r="R22">
        <f>K22</f>
        <v>90</v>
      </c>
      <c r="S22" t="s">
        <v>295</v>
      </c>
      <c r="T22" t="s">
        <v>294</v>
      </c>
    </row>
    <row r="23" spans="1:20" x14ac:dyDescent="0.35">
      <c r="A23" s="3">
        <v>18</v>
      </c>
      <c r="B23" s="3" t="s">
        <v>80</v>
      </c>
      <c r="C23" s="3">
        <v>7</v>
      </c>
      <c r="D23" s="3" t="s">
        <v>81</v>
      </c>
      <c r="E23" s="3"/>
      <c r="F23" s="3"/>
      <c r="G23" s="3"/>
      <c r="I23" t="str" cm="1">
        <f t="array" ref="I23" xml:space="preserve"> IF(AND(A23:G23=""), "NEW", IF(EXACT(F23,S23), "SAME", "SWAPPED"))</f>
        <v>SAME</v>
      </c>
      <c r="J23">
        <f>IF(I23="SAME", Table3[[#This Row],[Qty]]-Table1[[#This Row],[Qty]], Table3[[#This Row],[Qty]])</f>
        <v>0</v>
      </c>
      <c r="K23" t="str">
        <f t="shared" si="0"/>
        <v/>
      </c>
      <c r="M23">
        <v>22</v>
      </c>
      <c r="N23" t="s">
        <v>80</v>
      </c>
      <c r="O23">
        <v>7</v>
      </c>
      <c r="P23" t="s">
        <v>81</v>
      </c>
      <c r="R23" t="str">
        <f>K23</f>
        <v/>
      </c>
    </row>
    <row r="24" spans="1:20" x14ac:dyDescent="0.35">
      <c r="A24" s="3">
        <v>19</v>
      </c>
      <c r="B24" s="3" t="s">
        <v>83</v>
      </c>
      <c r="C24" s="3">
        <v>1</v>
      </c>
      <c r="D24" s="3" t="s">
        <v>84</v>
      </c>
      <c r="E24" s="3"/>
      <c r="F24" s="3" t="s">
        <v>84</v>
      </c>
      <c r="G24" s="3" t="s">
        <v>86</v>
      </c>
      <c r="I24" t="str" cm="1">
        <f t="array" ref="I24" xml:space="preserve"> IF(AND(A24:G24=""), "NEW", IF(EXACT(F24,S24), "SAME", "SWAPPED"))</f>
        <v>SAME</v>
      </c>
      <c r="J24">
        <f>IF(I24="SAME", Table3[[#This Row],[Qty]]-Table1[[#This Row],[Qty]], Table3[[#This Row],[Qty]])</f>
        <v>0</v>
      </c>
      <c r="K24" t="str">
        <f t="shared" si="0"/>
        <v/>
      </c>
      <c r="M24">
        <v>23</v>
      </c>
      <c r="N24" t="s">
        <v>83</v>
      </c>
      <c r="O24">
        <v>1</v>
      </c>
      <c r="P24" t="s">
        <v>84</v>
      </c>
      <c r="R24" t="str">
        <f>K24</f>
        <v/>
      </c>
      <c r="S24" t="s">
        <v>84</v>
      </c>
      <c r="T24" t="s">
        <v>86</v>
      </c>
    </row>
    <row r="25" spans="1:20" x14ac:dyDescent="0.35">
      <c r="A25" s="3">
        <v>20</v>
      </c>
      <c r="B25" s="3" t="s">
        <v>87</v>
      </c>
      <c r="C25" s="3">
        <v>1</v>
      </c>
      <c r="D25" s="3">
        <v>1053141308</v>
      </c>
      <c r="E25" s="3"/>
      <c r="F25" s="3">
        <v>1053141308</v>
      </c>
      <c r="G25" s="3" t="s">
        <v>89</v>
      </c>
      <c r="I25" t="str" cm="1">
        <f t="array" ref="I25" xml:space="preserve"> IF(AND(A25:G25=""), "NEW", IF(EXACT(F25,S25), "SAME", "SWAPPED"))</f>
        <v>SAME</v>
      </c>
      <c r="J25">
        <f>IF(I25="SAME", Table3[[#This Row],[Qty]]-Table1[[#This Row],[Qty]], Table3[[#This Row],[Qty]])</f>
        <v>0</v>
      </c>
      <c r="K25" t="str">
        <f t="shared" si="0"/>
        <v/>
      </c>
      <c r="M25">
        <v>24</v>
      </c>
      <c r="N25" t="s">
        <v>87</v>
      </c>
      <c r="O25">
        <v>1</v>
      </c>
      <c r="P25">
        <v>1053141308</v>
      </c>
      <c r="R25" t="str">
        <f>K25</f>
        <v/>
      </c>
      <c r="S25">
        <v>1053141308</v>
      </c>
      <c r="T25" t="s">
        <v>89</v>
      </c>
    </row>
    <row r="26" spans="1:20" x14ac:dyDescent="0.35">
      <c r="A26" s="3">
        <v>21</v>
      </c>
      <c r="B26" s="3" t="s">
        <v>90</v>
      </c>
      <c r="C26" s="3">
        <v>1</v>
      </c>
      <c r="D26" s="3" t="s">
        <v>91</v>
      </c>
      <c r="E26" s="3"/>
      <c r="F26" s="3" t="s">
        <v>91</v>
      </c>
      <c r="G26" s="3" t="s">
        <v>93</v>
      </c>
      <c r="I26" t="str" cm="1">
        <f t="array" ref="I26" xml:space="preserve"> IF(AND(A26:G26=""), "NEW", IF(EXACT(F26,S26), "SAME", "SWAPPED"))</f>
        <v>SAME</v>
      </c>
      <c r="J26">
        <f>IF(I26="SAME", Table3[[#This Row],[Qty]]-Table1[[#This Row],[Qty]], Table3[[#This Row],[Qty]])</f>
        <v>0</v>
      </c>
      <c r="K26" t="str">
        <f t="shared" si="0"/>
        <v/>
      </c>
      <c r="M26">
        <v>25</v>
      </c>
      <c r="N26" t="s">
        <v>90</v>
      </c>
      <c r="O26">
        <v>1</v>
      </c>
      <c r="P26" t="s">
        <v>91</v>
      </c>
      <c r="R26" t="str">
        <f>K26</f>
        <v/>
      </c>
      <c r="S26" t="s">
        <v>91</v>
      </c>
      <c r="T26" t="s">
        <v>93</v>
      </c>
    </row>
    <row r="27" spans="1:20" x14ac:dyDescent="0.35">
      <c r="A27" s="3">
        <v>22</v>
      </c>
      <c r="B27" s="3" t="s">
        <v>94</v>
      </c>
      <c r="C27" s="3">
        <v>1</v>
      </c>
      <c r="D27" s="3" t="s">
        <v>95</v>
      </c>
      <c r="E27" s="3"/>
      <c r="F27" s="3"/>
      <c r="G27" s="3"/>
      <c r="I27" t="str" cm="1">
        <f t="array" ref="I27" xml:space="preserve"> IF(AND(A27:G27=""), "NEW", IF(EXACT(F27,S27), "SAME", "SWAPPED"))</f>
        <v>SAME</v>
      </c>
      <c r="J27">
        <f>IF(I27="SAME", Table3[[#This Row],[Qty]]-Table1[[#This Row],[Qty]], Table3[[#This Row],[Qty]])</f>
        <v>0</v>
      </c>
      <c r="K27" t="str">
        <f t="shared" si="0"/>
        <v/>
      </c>
      <c r="M27">
        <v>26</v>
      </c>
      <c r="N27" t="s">
        <v>94</v>
      </c>
      <c r="O27">
        <v>1</v>
      </c>
      <c r="P27" t="s">
        <v>95</v>
      </c>
      <c r="R27" t="str">
        <f>K27</f>
        <v/>
      </c>
    </row>
    <row r="28" spans="1:20" x14ac:dyDescent="0.35">
      <c r="A28" s="3">
        <v>23</v>
      </c>
      <c r="B28" s="3" t="s">
        <v>97</v>
      </c>
      <c r="C28" s="3">
        <v>1</v>
      </c>
      <c r="D28" s="3" t="s">
        <v>98</v>
      </c>
      <c r="E28" s="3"/>
      <c r="F28" s="3"/>
      <c r="G28" s="3"/>
      <c r="I28" t="str" cm="1">
        <f t="array" ref="I28" xml:space="preserve"> IF(AND(A28:G28=""), "NEW", IF(EXACT(F28,S28), "SAME", "SWAPPED"))</f>
        <v>SAME</v>
      </c>
      <c r="J28">
        <f>IF(I28="SAME", Table3[[#This Row],[Qty]]-Table1[[#This Row],[Qty]], Table3[[#This Row],[Qty]])</f>
        <v>0</v>
      </c>
      <c r="K28" t="str">
        <f t="shared" si="0"/>
        <v/>
      </c>
      <c r="M28">
        <v>27</v>
      </c>
      <c r="N28" t="s">
        <v>97</v>
      </c>
      <c r="O28">
        <v>1</v>
      </c>
      <c r="P28" t="s">
        <v>98</v>
      </c>
      <c r="R28" t="str">
        <f>K28</f>
        <v/>
      </c>
    </row>
    <row r="29" spans="1:20" x14ac:dyDescent="0.35">
      <c r="A29" s="3">
        <v>24</v>
      </c>
      <c r="B29" s="3" t="s">
        <v>100</v>
      </c>
      <c r="C29" s="3">
        <v>4</v>
      </c>
      <c r="D29" s="3" t="s">
        <v>101</v>
      </c>
      <c r="E29" s="3"/>
      <c r="F29" s="3" t="s">
        <v>101</v>
      </c>
      <c r="G29" s="3" t="s">
        <v>103</v>
      </c>
      <c r="I29" t="str" cm="1">
        <f t="array" ref="I29" xml:space="preserve"> IF(AND(A29:G29=""), "NEW", IF(EXACT(F29,S29), "SAME", "SWAPPED"))</f>
        <v>SAME</v>
      </c>
      <c r="J29">
        <f>IF(I29="SAME", Table3[[#This Row],[Qty]]-Table1[[#This Row],[Qty]], Table3[[#This Row],[Qty]])</f>
        <v>0</v>
      </c>
      <c r="K29" t="str">
        <f t="shared" si="0"/>
        <v/>
      </c>
      <c r="M29">
        <v>28</v>
      </c>
      <c r="N29" t="s">
        <v>100</v>
      </c>
      <c r="O29">
        <v>4</v>
      </c>
      <c r="P29" t="s">
        <v>101</v>
      </c>
      <c r="R29" t="str">
        <f>K29</f>
        <v/>
      </c>
      <c r="S29" t="s">
        <v>101</v>
      </c>
      <c r="T29" t="s">
        <v>103</v>
      </c>
    </row>
    <row r="30" spans="1:20" x14ac:dyDescent="0.35">
      <c r="A30" s="3">
        <v>25</v>
      </c>
      <c r="B30" s="3" t="s">
        <v>104</v>
      </c>
      <c r="C30" s="3">
        <v>1</v>
      </c>
      <c r="D30" s="3" t="s">
        <v>105</v>
      </c>
      <c r="E30" s="3"/>
      <c r="F30" s="3" t="s">
        <v>105</v>
      </c>
      <c r="G30" s="3" t="s">
        <v>107</v>
      </c>
      <c r="I30" t="str" cm="1">
        <f t="array" ref="I30" xml:space="preserve"> IF(AND(A30:G30=""), "NEW", IF(EXACT(F30,S30), "SAME", "SWAPPED"))</f>
        <v>SAME</v>
      </c>
      <c r="J30">
        <f>IF(I30="SAME", Table3[[#This Row],[Qty]]-Table1[[#This Row],[Qty]], Table3[[#This Row],[Qty]])</f>
        <v>0</v>
      </c>
      <c r="K30" t="str">
        <f t="shared" si="0"/>
        <v/>
      </c>
      <c r="M30">
        <v>29</v>
      </c>
      <c r="N30" t="s">
        <v>104</v>
      </c>
      <c r="O30">
        <v>1</v>
      </c>
      <c r="P30" t="s">
        <v>105</v>
      </c>
      <c r="R30" t="str">
        <f>K30</f>
        <v/>
      </c>
      <c r="S30" t="s">
        <v>105</v>
      </c>
      <c r="T30" t="s">
        <v>107</v>
      </c>
    </row>
    <row r="31" spans="1:20" x14ac:dyDescent="0.35">
      <c r="A31" s="3">
        <v>26</v>
      </c>
      <c r="B31" s="3" t="s">
        <v>108</v>
      </c>
      <c r="C31" s="3">
        <v>1</v>
      </c>
      <c r="D31" s="3">
        <v>1053131303</v>
      </c>
      <c r="E31" s="3"/>
      <c r="F31" s="3">
        <v>1053131303</v>
      </c>
      <c r="G31" s="3" t="s">
        <v>89</v>
      </c>
      <c r="I31" t="str" cm="1">
        <f t="array" ref="I31" xml:space="preserve"> IF(AND(A31:G31=""), "NEW", IF(EXACT(F31,S31), "SAME", "SWAPPED"))</f>
        <v>SAME</v>
      </c>
      <c r="J31">
        <f>IF(I31="SAME", Table3[[#This Row],[Qty]]-Table1[[#This Row],[Qty]], Table3[[#This Row],[Qty]])</f>
        <v>0</v>
      </c>
      <c r="K31" t="str">
        <f t="shared" si="0"/>
        <v/>
      </c>
      <c r="M31">
        <v>30</v>
      </c>
      <c r="N31" t="s">
        <v>108</v>
      </c>
      <c r="O31">
        <v>1</v>
      </c>
      <c r="P31">
        <v>1053131303</v>
      </c>
      <c r="R31" t="str">
        <f>K31</f>
        <v/>
      </c>
      <c r="S31">
        <v>1053131303</v>
      </c>
      <c r="T31" t="s">
        <v>89</v>
      </c>
    </row>
    <row r="32" spans="1:20" x14ac:dyDescent="0.35">
      <c r="A32" s="3">
        <v>27</v>
      </c>
      <c r="B32" s="3" t="s">
        <v>110</v>
      </c>
      <c r="C32" s="3">
        <v>1</v>
      </c>
      <c r="D32" s="3" t="s">
        <v>101</v>
      </c>
      <c r="E32" s="3"/>
      <c r="F32" s="3" t="s">
        <v>101</v>
      </c>
      <c r="G32" s="3" t="s">
        <v>103</v>
      </c>
      <c r="I32" t="str" cm="1">
        <f t="array" ref="I32" xml:space="preserve"> IF(AND(A32:G32=""), "NEW", IF(EXACT(F32,S32), "SAME", "SWAPPED"))</f>
        <v>SAME</v>
      </c>
      <c r="J32">
        <f>IF(I32="SAME", Table3[[#This Row],[Qty]]-Table1[[#This Row],[Qty]], Table3[[#This Row],[Qty]])</f>
        <v>0</v>
      </c>
      <c r="K32" t="str">
        <f t="shared" si="0"/>
        <v/>
      </c>
      <c r="M32">
        <v>31</v>
      </c>
      <c r="N32" t="s">
        <v>110</v>
      </c>
      <c r="O32">
        <v>1</v>
      </c>
      <c r="P32" t="s">
        <v>101</v>
      </c>
      <c r="R32" t="str">
        <f>K32</f>
        <v/>
      </c>
      <c r="S32" t="s">
        <v>101</v>
      </c>
      <c r="T32" t="s">
        <v>103</v>
      </c>
    </row>
    <row r="33" spans="1:20" x14ac:dyDescent="0.35">
      <c r="A33" s="3">
        <v>28</v>
      </c>
      <c r="B33" s="3" t="s">
        <v>112</v>
      </c>
      <c r="C33" s="3">
        <v>1</v>
      </c>
      <c r="D33" s="3">
        <v>5024940670</v>
      </c>
      <c r="E33" s="3"/>
      <c r="F33" s="3">
        <v>5024940670</v>
      </c>
      <c r="G33" s="3" t="s">
        <v>89</v>
      </c>
      <c r="I33" t="str" cm="1">
        <f t="array" ref="I33" xml:space="preserve"> IF(AND(A33:G33=""), "NEW", IF(EXACT(F33,S33), "SAME", "SWAPPED"))</f>
        <v>SAME</v>
      </c>
      <c r="J33">
        <f>IF(I33="SAME", Table3[[#This Row],[Qty]]-Table1[[#This Row],[Qty]], Table3[[#This Row],[Qty]])</f>
        <v>0</v>
      </c>
      <c r="K33" t="str">
        <f t="shared" si="0"/>
        <v/>
      </c>
      <c r="M33">
        <v>32</v>
      </c>
      <c r="N33" t="s">
        <v>112</v>
      </c>
      <c r="O33">
        <v>1</v>
      </c>
      <c r="P33">
        <v>5024940670</v>
      </c>
      <c r="R33" t="str">
        <f>K33</f>
        <v/>
      </c>
      <c r="S33">
        <v>5024940670</v>
      </c>
      <c r="T33" t="s">
        <v>89</v>
      </c>
    </row>
    <row r="34" spans="1:20" x14ac:dyDescent="0.35">
      <c r="A34" s="3">
        <v>29</v>
      </c>
      <c r="B34" s="3" t="s">
        <v>114</v>
      </c>
      <c r="C34" s="3">
        <v>4</v>
      </c>
      <c r="D34" s="3">
        <v>1053131302</v>
      </c>
      <c r="E34" s="3"/>
      <c r="F34" s="3">
        <v>1053131302</v>
      </c>
      <c r="G34" s="3" t="s">
        <v>89</v>
      </c>
      <c r="I34" t="str" cm="1">
        <f t="array" ref="I34" xml:space="preserve"> IF(AND(A34:G34=""), "NEW", IF(EXACT(F34,S34), "SAME", "SWAPPED"))</f>
        <v>SAME</v>
      </c>
      <c r="J34">
        <f>IF(I34="SAME", Table3[[#This Row],[Qty]]-Table1[[#This Row],[Qty]], Table3[[#This Row],[Qty]])</f>
        <v>0</v>
      </c>
      <c r="K34" t="str">
        <f t="shared" si="0"/>
        <v/>
      </c>
      <c r="M34">
        <v>33</v>
      </c>
      <c r="N34" t="s">
        <v>114</v>
      </c>
      <c r="O34">
        <v>4</v>
      </c>
      <c r="P34">
        <v>1053131302</v>
      </c>
      <c r="R34" t="str">
        <f>K34</f>
        <v/>
      </c>
      <c r="S34">
        <v>1053131302</v>
      </c>
      <c r="T34" t="s">
        <v>89</v>
      </c>
    </row>
    <row r="35" spans="1:20" x14ac:dyDescent="0.35">
      <c r="A35" s="3">
        <v>30</v>
      </c>
      <c r="B35" s="3" t="s">
        <v>116</v>
      </c>
      <c r="C35" s="3">
        <v>1</v>
      </c>
      <c r="D35" s="3" t="s">
        <v>117</v>
      </c>
      <c r="E35" s="3"/>
      <c r="F35" s="3" t="s">
        <v>119</v>
      </c>
      <c r="G35" s="3" t="s">
        <v>86</v>
      </c>
      <c r="I35" t="str" cm="1">
        <f t="array" ref="I35" xml:space="preserve"> IF(AND(A35:G35=""), "NEW", IF(EXACT(F35,S35), "SAME", "SWAPPED"))</f>
        <v>SAME</v>
      </c>
      <c r="J35">
        <f>IF(I35="SAME", Table3[[#This Row],[Qty]]-Table1[[#This Row],[Qty]], Table3[[#This Row],[Qty]])</f>
        <v>0</v>
      </c>
      <c r="K35" t="str">
        <f t="shared" si="0"/>
        <v/>
      </c>
      <c r="M35">
        <v>34</v>
      </c>
      <c r="N35" t="s">
        <v>116</v>
      </c>
      <c r="O35">
        <v>1</v>
      </c>
      <c r="P35" t="s">
        <v>117</v>
      </c>
      <c r="R35" t="str">
        <f>K35</f>
        <v/>
      </c>
      <c r="S35" t="s">
        <v>119</v>
      </c>
      <c r="T35" t="s">
        <v>86</v>
      </c>
    </row>
    <row r="36" spans="1:20" x14ac:dyDescent="0.35">
      <c r="A36" s="3">
        <v>31</v>
      </c>
      <c r="B36" s="3" t="s">
        <v>120</v>
      </c>
      <c r="C36" s="3">
        <v>1</v>
      </c>
      <c r="D36" s="3" t="s">
        <v>121</v>
      </c>
      <c r="E36" s="3"/>
      <c r="F36" s="3" t="s">
        <v>123</v>
      </c>
      <c r="G36" s="3" t="s">
        <v>124</v>
      </c>
      <c r="I36" t="str" cm="1">
        <f t="array" ref="I36" xml:space="preserve"> IF(AND(A36:G36=""), "NEW", IF(EXACT(F36,S36), "SAME", "SWAPPED"))</f>
        <v>SAME</v>
      </c>
      <c r="J36">
        <f>IF(I36="SAME", Table3[[#This Row],[Qty]]-Table1[[#This Row],[Qty]], Table3[[#This Row],[Qty]])</f>
        <v>0</v>
      </c>
      <c r="K36" t="str">
        <f t="shared" si="0"/>
        <v/>
      </c>
      <c r="M36">
        <v>35</v>
      </c>
      <c r="N36" t="s">
        <v>120</v>
      </c>
      <c r="O36">
        <v>1</v>
      </c>
      <c r="P36" t="s">
        <v>121</v>
      </c>
      <c r="R36" t="str">
        <f>K36</f>
        <v/>
      </c>
      <c r="S36" t="s">
        <v>123</v>
      </c>
      <c r="T36" t="s">
        <v>124</v>
      </c>
    </row>
    <row r="37" spans="1:20" x14ac:dyDescent="0.35">
      <c r="A37" s="3">
        <v>32</v>
      </c>
      <c r="B37" s="3" t="s">
        <v>125</v>
      </c>
      <c r="C37" s="3">
        <v>12</v>
      </c>
      <c r="D37" s="3" t="s">
        <v>126</v>
      </c>
      <c r="E37" s="3"/>
      <c r="F37" s="3" t="s">
        <v>126</v>
      </c>
      <c r="G37" s="3" t="s">
        <v>128</v>
      </c>
      <c r="I37" t="str" cm="1">
        <f t="array" ref="I37" xml:space="preserve"> IF(AND(A37:G37=""), "NEW", IF(EXACT(F37,S37), "SAME", "SWAPPED"))</f>
        <v>SAME</v>
      </c>
      <c r="J37">
        <f>IF(I37="SAME", Table3[[#This Row],[Qty]]-Table1[[#This Row],[Qty]], Table3[[#This Row],[Qty]])</f>
        <v>0</v>
      </c>
      <c r="K37" t="str">
        <f t="shared" si="0"/>
        <v/>
      </c>
      <c r="M37">
        <v>36</v>
      </c>
      <c r="N37" t="s">
        <v>125</v>
      </c>
      <c r="O37">
        <v>12</v>
      </c>
      <c r="P37" t="s">
        <v>126</v>
      </c>
      <c r="R37" t="str">
        <f>K37</f>
        <v/>
      </c>
      <c r="S37" t="s">
        <v>126</v>
      </c>
      <c r="T37" t="s">
        <v>128</v>
      </c>
    </row>
    <row r="38" spans="1:20" x14ac:dyDescent="0.35">
      <c r="A38" s="3">
        <v>33</v>
      </c>
      <c r="B38" s="3" t="s">
        <v>129</v>
      </c>
      <c r="C38" s="3">
        <v>3</v>
      </c>
      <c r="D38" s="3" t="s">
        <v>130</v>
      </c>
      <c r="E38" s="3"/>
      <c r="F38" s="3" t="s">
        <v>130</v>
      </c>
      <c r="G38" s="3" t="s">
        <v>132</v>
      </c>
      <c r="I38" t="str" cm="1">
        <f t="array" ref="I38" xml:space="preserve"> IF(AND(A38:G38=""), "NEW", IF(EXACT(F38,S38), "SAME", "SWAPPED"))</f>
        <v>SAME</v>
      </c>
      <c r="J38">
        <f>IF(I38="SAME", Table3[[#This Row],[Qty]]-Table1[[#This Row],[Qty]], Table3[[#This Row],[Qty]])</f>
        <v>1</v>
      </c>
      <c r="K38">
        <f t="shared" si="0"/>
        <v>10</v>
      </c>
      <c r="M38">
        <v>37</v>
      </c>
      <c r="N38" t="s">
        <v>293</v>
      </c>
      <c r="O38">
        <v>4</v>
      </c>
      <c r="P38" t="s">
        <v>130</v>
      </c>
      <c r="R38">
        <f>K38</f>
        <v>10</v>
      </c>
      <c r="S38" t="s">
        <v>130</v>
      </c>
      <c r="T38" t="s">
        <v>132</v>
      </c>
    </row>
    <row r="39" spans="1:20" x14ac:dyDescent="0.35">
      <c r="A39" s="3">
        <v>34</v>
      </c>
      <c r="B39" s="3" t="s">
        <v>133</v>
      </c>
      <c r="C39" s="3">
        <v>1</v>
      </c>
      <c r="D39" s="3" t="s">
        <v>134</v>
      </c>
      <c r="E39" s="3"/>
      <c r="F39" s="3" t="s">
        <v>134</v>
      </c>
      <c r="G39" s="3" t="s">
        <v>136</v>
      </c>
      <c r="I39" t="str" cm="1">
        <f t="array" ref="I39" xml:space="preserve"> IF(AND(A39:G39=""), "NEW", IF(EXACT(F39,S39), "SAME", "SWAPPED"))</f>
        <v>SAME</v>
      </c>
      <c r="J39">
        <f>IF(I39="SAME", Table3[[#This Row],[Qty]]-Table1[[#This Row],[Qty]], Table3[[#This Row],[Qty]])</f>
        <v>0</v>
      </c>
      <c r="K39" t="str">
        <f t="shared" si="0"/>
        <v/>
      </c>
      <c r="M39">
        <v>38</v>
      </c>
      <c r="N39" t="s">
        <v>133</v>
      </c>
      <c r="O39">
        <v>1</v>
      </c>
      <c r="P39" t="s">
        <v>134</v>
      </c>
      <c r="R39" t="str">
        <f>K39</f>
        <v/>
      </c>
      <c r="S39" t="s">
        <v>134</v>
      </c>
      <c r="T39" t="s">
        <v>136</v>
      </c>
    </row>
    <row r="40" spans="1:20" x14ac:dyDescent="0.35">
      <c r="A40" s="3">
        <v>35</v>
      </c>
      <c r="B40" s="3" t="s">
        <v>137</v>
      </c>
      <c r="C40" s="3">
        <v>13</v>
      </c>
      <c r="D40" s="3" t="s">
        <v>138</v>
      </c>
      <c r="E40" s="3"/>
      <c r="F40" s="3" t="s">
        <v>138</v>
      </c>
      <c r="G40" s="3" t="s">
        <v>140</v>
      </c>
      <c r="I40" t="str" cm="1">
        <f t="array" ref="I40" xml:space="preserve"> IF(AND(A40:G40=""), "NEW", IF(EXACT(F40,S40), "SAME", "SWAPPED"))</f>
        <v>SAME</v>
      </c>
      <c r="J40">
        <f>IF(I40="SAME", Table3[[#This Row],[Qty]]-Table1[[#This Row],[Qty]], Table3[[#This Row],[Qty]])</f>
        <v>0</v>
      </c>
      <c r="K40" t="str">
        <f t="shared" si="0"/>
        <v/>
      </c>
      <c r="M40">
        <v>39</v>
      </c>
      <c r="N40" t="s">
        <v>137</v>
      </c>
      <c r="O40">
        <v>13</v>
      </c>
      <c r="P40" t="s">
        <v>138</v>
      </c>
      <c r="R40" t="str">
        <f>K40</f>
        <v/>
      </c>
      <c r="S40" t="s">
        <v>138</v>
      </c>
      <c r="T40" t="s">
        <v>140</v>
      </c>
    </row>
    <row r="41" spans="1:20" x14ac:dyDescent="0.35">
      <c r="A41" s="3">
        <v>36</v>
      </c>
      <c r="B41" s="3" t="s">
        <v>141</v>
      </c>
      <c r="C41" s="3">
        <v>1</v>
      </c>
      <c r="D41" s="3" t="s">
        <v>142</v>
      </c>
      <c r="E41" s="3"/>
      <c r="F41" s="3" t="s">
        <v>144</v>
      </c>
      <c r="G41" s="3" t="s">
        <v>145</v>
      </c>
      <c r="I41" t="str" cm="1">
        <f t="array" ref="I41" xml:space="preserve"> IF(AND(A41:G41=""), "NEW", IF(EXACT(F41,S41), "SAME", "SWAPPED"))</f>
        <v>SAME</v>
      </c>
      <c r="J41">
        <f>IF(I41="SAME", Table3[[#This Row],[Qty]]-Table1[[#This Row],[Qty]], Table3[[#This Row],[Qty]])</f>
        <v>1</v>
      </c>
      <c r="K41">
        <f t="shared" si="0"/>
        <v>10</v>
      </c>
      <c r="M41">
        <v>40</v>
      </c>
      <c r="N41" t="s">
        <v>292</v>
      </c>
      <c r="O41">
        <v>2</v>
      </c>
      <c r="P41" t="s">
        <v>142</v>
      </c>
      <c r="R41">
        <f>K41</f>
        <v>10</v>
      </c>
      <c r="S41" t="s">
        <v>144</v>
      </c>
      <c r="T41" t="s">
        <v>145</v>
      </c>
    </row>
    <row r="42" spans="1:20" x14ac:dyDescent="0.35">
      <c r="A42" s="3">
        <v>37</v>
      </c>
      <c r="B42" s="3" t="s">
        <v>146</v>
      </c>
      <c r="C42" s="3">
        <v>18</v>
      </c>
      <c r="D42" s="3">
        <v>100</v>
      </c>
      <c r="E42" s="3"/>
      <c r="F42" s="3" t="s">
        <v>148</v>
      </c>
      <c r="G42" s="3" t="s">
        <v>149</v>
      </c>
      <c r="I42" t="str" cm="1">
        <f t="array" ref="I42" xml:space="preserve"> IF(AND(A42:G42=""), "NEW", IF(EXACT(F42,S42), "SAME", "SWAPPED"))</f>
        <v>SAME</v>
      </c>
      <c r="J42">
        <f>IF(I42="SAME", Table3[[#This Row],[Qty]]-Table1[[#This Row],[Qty]], Table3[[#This Row],[Qty]])</f>
        <v>1</v>
      </c>
      <c r="K42">
        <f t="shared" si="0"/>
        <v>10</v>
      </c>
      <c r="M42">
        <v>41</v>
      </c>
      <c r="N42" t="s">
        <v>291</v>
      </c>
      <c r="O42">
        <v>19</v>
      </c>
      <c r="P42">
        <v>100</v>
      </c>
      <c r="R42">
        <f>K42</f>
        <v>10</v>
      </c>
      <c r="S42" t="s">
        <v>148</v>
      </c>
      <c r="T42" t="s">
        <v>149</v>
      </c>
    </row>
    <row r="43" spans="1:20" x14ac:dyDescent="0.35">
      <c r="A43" s="3">
        <v>38</v>
      </c>
      <c r="B43" s="3" t="s">
        <v>150</v>
      </c>
      <c r="C43" s="3">
        <v>14</v>
      </c>
      <c r="D43" s="3">
        <v>27</v>
      </c>
      <c r="E43" s="3"/>
      <c r="F43" s="3" t="s">
        <v>152</v>
      </c>
      <c r="G43" s="3" t="s">
        <v>50</v>
      </c>
      <c r="I43" t="str" cm="1">
        <f t="array" ref="I43" xml:space="preserve"> IF(AND(A43:G43=""), "NEW", IF(EXACT(F43,S43), "SAME", "SWAPPED"))</f>
        <v>SAME</v>
      </c>
      <c r="J43">
        <f>IF(I43="SAME", Table3[[#This Row],[Qty]]-Table1[[#This Row],[Qty]], Table3[[#This Row],[Qty]])</f>
        <v>0</v>
      </c>
      <c r="K43" t="str">
        <f t="shared" si="0"/>
        <v/>
      </c>
      <c r="M43">
        <v>42</v>
      </c>
      <c r="N43" t="s">
        <v>150</v>
      </c>
      <c r="O43">
        <v>14</v>
      </c>
      <c r="P43">
        <v>27</v>
      </c>
      <c r="R43" t="str">
        <f>K43</f>
        <v/>
      </c>
      <c r="S43" t="s">
        <v>152</v>
      </c>
      <c r="T43" t="s">
        <v>50</v>
      </c>
    </row>
    <row r="44" spans="1:20" x14ac:dyDescent="0.35">
      <c r="A44" s="3">
        <v>39</v>
      </c>
      <c r="B44" s="3" t="s">
        <v>153</v>
      </c>
      <c r="C44" s="3">
        <v>24</v>
      </c>
      <c r="D44" s="3">
        <v>15</v>
      </c>
      <c r="E44" s="3"/>
      <c r="F44" s="3" t="s">
        <v>155</v>
      </c>
      <c r="G44" s="3" t="s">
        <v>156</v>
      </c>
      <c r="I44" t="str" cm="1">
        <f t="array" ref="I44" xml:space="preserve"> IF(AND(A44:G44=""), "NEW", IF(EXACT(F44,S44), "SAME", "SWAPPED"))</f>
        <v>SAME</v>
      </c>
      <c r="J44">
        <f>IF(I44="SAME", Table3[[#This Row],[Qty]]-Table1[[#This Row],[Qty]], Table3[[#This Row],[Qty]])</f>
        <v>0</v>
      </c>
      <c r="K44" t="str">
        <f t="shared" si="0"/>
        <v/>
      </c>
      <c r="M44">
        <v>43</v>
      </c>
      <c r="N44" t="s">
        <v>153</v>
      </c>
      <c r="O44">
        <v>24</v>
      </c>
      <c r="P44">
        <v>15</v>
      </c>
      <c r="R44" t="str">
        <f>K44</f>
        <v/>
      </c>
      <c r="S44" t="s">
        <v>155</v>
      </c>
      <c r="T44" t="s">
        <v>156</v>
      </c>
    </row>
    <row r="45" spans="1:20" x14ac:dyDescent="0.35">
      <c r="A45" s="3">
        <v>40</v>
      </c>
      <c r="B45" s="3" t="s">
        <v>157</v>
      </c>
      <c r="C45" s="3">
        <v>15</v>
      </c>
      <c r="D45" s="3">
        <v>475</v>
      </c>
      <c r="E45" s="3"/>
      <c r="F45" s="3" t="s">
        <v>158</v>
      </c>
      <c r="G45" s="3" t="s">
        <v>149</v>
      </c>
      <c r="I45" t="str" cm="1">
        <f t="array" ref="I45" xml:space="preserve"> IF(AND(A45:G45=""), "NEW", IF(EXACT(F45,S45), "SAME", "SWAPPED"))</f>
        <v>SAME</v>
      </c>
      <c r="J45">
        <f>IF(I45="SAME", Table3[[#This Row],[Qty]]-Table1[[#This Row],[Qty]], Table3[[#This Row],[Qty]])</f>
        <v>0</v>
      </c>
      <c r="K45" t="str">
        <f t="shared" si="0"/>
        <v/>
      </c>
      <c r="M45">
        <v>44</v>
      </c>
      <c r="N45" t="s">
        <v>157</v>
      </c>
      <c r="O45">
        <v>15</v>
      </c>
      <c r="P45">
        <v>475</v>
      </c>
      <c r="R45" t="str">
        <f>K45</f>
        <v/>
      </c>
      <c r="S45" t="s">
        <v>158</v>
      </c>
      <c r="T45" t="s">
        <v>149</v>
      </c>
    </row>
    <row r="46" spans="1:20" x14ac:dyDescent="0.35">
      <c r="A46" s="3">
        <v>41</v>
      </c>
      <c r="B46" s="3" t="s">
        <v>159</v>
      </c>
      <c r="C46" s="3">
        <v>10</v>
      </c>
      <c r="D46" s="3" t="s">
        <v>160</v>
      </c>
      <c r="E46" s="3"/>
      <c r="F46" s="3" t="s">
        <v>162</v>
      </c>
      <c r="G46" s="3" t="s">
        <v>163</v>
      </c>
      <c r="I46" t="str" cm="1">
        <f t="array" ref="I46" xml:space="preserve"> IF(AND(A46:G46=""), "NEW", IF(EXACT(F46,S46), "SAME", "SWAPPED"))</f>
        <v>SAME</v>
      </c>
      <c r="J46">
        <f>IF(I46="SAME", Table3[[#This Row],[Qty]]-Table1[[#This Row],[Qty]], Table3[[#This Row],[Qty]])</f>
        <v>2</v>
      </c>
      <c r="K46">
        <f t="shared" si="0"/>
        <v>20</v>
      </c>
      <c r="M46">
        <v>45</v>
      </c>
      <c r="N46" t="s">
        <v>290</v>
      </c>
      <c r="O46">
        <v>12</v>
      </c>
      <c r="P46" t="s">
        <v>160</v>
      </c>
      <c r="R46">
        <f>K46</f>
        <v>20</v>
      </c>
      <c r="S46" t="s">
        <v>162</v>
      </c>
      <c r="T46" t="s">
        <v>163</v>
      </c>
    </row>
    <row r="47" spans="1:20" x14ac:dyDescent="0.35">
      <c r="A47" s="3">
        <v>42</v>
      </c>
      <c r="B47" s="3" t="s">
        <v>164</v>
      </c>
      <c r="C47" s="3">
        <v>3</v>
      </c>
      <c r="D47" s="3" t="s">
        <v>160</v>
      </c>
      <c r="E47" s="3" t="s">
        <v>5</v>
      </c>
      <c r="F47" s="3" t="s">
        <v>162</v>
      </c>
      <c r="G47" s="3" t="s">
        <v>163</v>
      </c>
      <c r="I47" t="str" cm="1">
        <f t="array" ref="I47" xml:space="preserve"> IF(AND(A47:G47=""), "NEW", IF(EXACT(F47,S47), "SAME", "SWAPPED"))</f>
        <v>SAME</v>
      </c>
      <c r="J47">
        <f>IF(I47="SAME", Table3[[#This Row],[Qty]]-Table1[[#This Row],[Qty]], Table3[[#This Row],[Qty]])</f>
        <v>0</v>
      </c>
      <c r="K47" t="str">
        <f t="shared" si="0"/>
        <v/>
      </c>
      <c r="M47">
        <v>46</v>
      </c>
      <c r="N47" t="s">
        <v>164</v>
      </c>
      <c r="O47">
        <v>3</v>
      </c>
      <c r="P47" t="s">
        <v>160</v>
      </c>
      <c r="Q47" t="s">
        <v>5</v>
      </c>
      <c r="R47" t="str">
        <f>K47</f>
        <v/>
      </c>
      <c r="S47" t="s">
        <v>162</v>
      </c>
      <c r="T47" t="s">
        <v>163</v>
      </c>
    </row>
    <row r="48" spans="1:20" x14ac:dyDescent="0.35">
      <c r="A48" s="3">
        <v>43</v>
      </c>
      <c r="B48" s="3" t="s">
        <v>165</v>
      </c>
      <c r="C48" s="3">
        <v>11</v>
      </c>
      <c r="D48" s="3">
        <v>0</v>
      </c>
      <c r="E48" s="3"/>
      <c r="F48" s="3" t="s">
        <v>167</v>
      </c>
      <c r="G48" s="3" t="s">
        <v>124</v>
      </c>
      <c r="I48" t="str" cm="1">
        <f t="array" ref="I48" xml:space="preserve"> IF(AND(A48:G48=""), "NEW", IF(EXACT(F48,S48), "SAME", "SWAPPED"))</f>
        <v>SAME</v>
      </c>
      <c r="J48">
        <f>IF(I48="SAME", Table3[[#This Row],[Qty]]-Table1[[#This Row],[Qty]], Table3[[#This Row],[Qty]])</f>
        <v>1</v>
      </c>
      <c r="K48">
        <f t="shared" si="0"/>
        <v>10</v>
      </c>
      <c r="M48">
        <v>47</v>
      </c>
      <c r="N48" t="s">
        <v>289</v>
      </c>
      <c r="O48">
        <v>12</v>
      </c>
      <c r="P48">
        <v>0</v>
      </c>
      <c r="R48">
        <f>K48</f>
        <v>10</v>
      </c>
      <c r="S48" t="s">
        <v>167</v>
      </c>
      <c r="T48" t="s">
        <v>124</v>
      </c>
    </row>
    <row r="49" spans="1:20" x14ac:dyDescent="0.35">
      <c r="A49" s="3">
        <v>44</v>
      </c>
      <c r="B49" s="3" t="s">
        <v>168</v>
      </c>
      <c r="C49" s="3">
        <v>11</v>
      </c>
      <c r="D49" s="3">
        <v>0</v>
      </c>
      <c r="E49" s="3" t="s">
        <v>5</v>
      </c>
      <c r="F49" s="3" t="s">
        <v>167</v>
      </c>
      <c r="G49" s="3" t="s">
        <v>124</v>
      </c>
      <c r="I49" t="str" cm="1">
        <f t="array" ref="I49" xml:space="preserve"> IF(AND(A49:G49=""), "NEW", IF(EXACT(F49,S49), "SAME", "SWAPPED"))</f>
        <v>SAME</v>
      </c>
      <c r="J49">
        <f>IF(I49="SAME", Table3[[#This Row],[Qty]]-Table1[[#This Row],[Qty]], Table3[[#This Row],[Qty]])</f>
        <v>0</v>
      </c>
      <c r="K49" t="str">
        <f t="shared" si="0"/>
        <v/>
      </c>
      <c r="M49">
        <v>48</v>
      </c>
      <c r="N49" t="s">
        <v>168</v>
      </c>
      <c r="O49">
        <v>11</v>
      </c>
      <c r="P49">
        <v>0</v>
      </c>
      <c r="Q49" t="s">
        <v>5</v>
      </c>
      <c r="R49" t="str">
        <f>K49</f>
        <v/>
      </c>
      <c r="S49" t="s">
        <v>167</v>
      </c>
      <c r="T49" t="s">
        <v>124</v>
      </c>
    </row>
    <row r="50" spans="1:20" x14ac:dyDescent="0.35">
      <c r="A50" s="3">
        <v>45</v>
      </c>
      <c r="B50" s="3" t="s">
        <v>169</v>
      </c>
      <c r="C50" s="3">
        <v>1</v>
      </c>
      <c r="D50" s="3" t="s">
        <v>170</v>
      </c>
      <c r="E50" s="3"/>
      <c r="F50" s="3" t="s">
        <v>172</v>
      </c>
      <c r="G50" s="3" t="s">
        <v>173</v>
      </c>
      <c r="I50" t="str" cm="1">
        <f t="array" ref="I50" xml:space="preserve"> IF(AND(A50:G50=""), "NEW", IF(EXACT(F50,S50), "SAME", "SWAPPED"))</f>
        <v>SAME</v>
      </c>
      <c r="J50">
        <f>IF(I50="SAME", Table3[[#This Row],[Qty]]-Table1[[#This Row],[Qty]], Table3[[#This Row],[Qty]])</f>
        <v>0</v>
      </c>
      <c r="K50" t="str">
        <f t="shared" si="0"/>
        <v/>
      </c>
      <c r="M50">
        <v>49</v>
      </c>
      <c r="N50" t="s">
        <v>169</v>
      </c>
      <c r="O50">
        <v>1</v>
      </c>
      <c r="P50" t="s">
        <v>170</v>
      </c>
      <c r="R50" t="str">
        <f>K50</f>
        <v/>
      </c>
      <c r="S50" t="s">
        <v>172</v>
      </c>
      <c r="T50" t="s">
        <v>173</v>
      </c>
    </row>
    <row r="51" spans="1:20" x14ac:dyDescent="0.35">
      <c r="A51" s="3">
        <v>46</v>
      </c>
      <c r="B51" s="3" t="s">
        <v>174</v>
      </c>
      <c r="C51" s="3">
        <v>8</v>
      </c>
      <c r="D51" s="3" t="s">
        <v>175</v>
      </c>
      <c r="E51" s="3"/>
      <c r="F51" s="3" t="s">
        <v>176</v>
      </c>
      <c r="G51" s="3" t="s">
        <v>50</v>
      </c>
      <c r="I51" t="str" cm="1">
        <f t="array" ref="I51" xml:space="preserve"> IF(AND(A51:G51=""), "NEW", IF(EXACT(F51,S51), "SAME", "SWAPPED"))</f>
        <v>SAME</v>
      </c>
      <c r="J51">
        <f>IF(I51="SAME", Table3[[#This Row],[Qty]]-Table1[[#This Row],[Qty]], Table3[[#This Row],[Qty]])</f>
        <v>-1</v>
      </c>
      <c r="K51" t="str">
        <f t="shared" si="0"/>
        <v/>
      </c>
      <c r="M51">
        <v>50</v>
      </c>
      <c r="N51" t="s">
        <v>288</v>
      </c>
      <c r="O51">
        <v>7</v>
      </c>
      <c r="P51" t="s">
        <v>175</v>
      </c>
      <c r="R51" t="str">
        <f>K51</f>
        <v/>
      </c>
      <c r="S51" t="s">
        <v>176</v>
      </c>
      <c r="T51" t="s">
        <v>50</v>
      </c>
    </row>
    <row r="52" spans="1:20" x14ac:dyDescent="0.35">
      <c r="A52" s="3">
        <v>47</v>
      </c>
      <c r="B52" s="3" t="s">
        <v>177</v>
      </c>
      <c r="C52" s="3">
        <v>1</v>
      </c>
      <c r="D52" s="3" t="s">
        <v>178</v>
      </c>
      <c r="E52" s="3"/>
      <c r="F52" s="3" t="s">
        <v>180</v>
      </c>
      <c r="G52" s="3" t="s">
        <v>50</v>
      </c>
      <c r="I52" t="str" cm="1">
        <f t="array" ref="I52" xml:space="preserve"> IF(AND(A52:G52=""), "NEW", IF(EXACT(F52,S52), "SAME", "SWAPPED"))</f>
        <v>SAME</v>
      </c>
      <c r="J52">
        <f>IF(I52="SAME", Table3[[#This Row],[Qty]]-Table1[[#This Row],[Qty]], Table3[[#This Row],[Qty]])</f>
        <v>0</v>
      </c>
      <c r="K52" t="str">
        <f t="shared" si="0"/>
        <v/>
      </c>
      <c r="M52">
        <v>51</v>
      </c>
      <c r="N52" t="s">
        <v>177</v>
      </c>
      <c r="O52">
        <v>1</v>
      </c>
      <c r="P52" t="s">
        <v>178</v>
      </c>
      <c r="R52" t="str">
        <f>K52</f>
        <v/>
      </c>
      <c r="S52" t="s">
        <v>180</v>
      </c>
      <c r="T52" t="s">
        <v>50</v>
      </c>
    </row>
    <row r="53" spans="1:20" x14ac:dyDescent="0.35">
      <c r="A53" s="3">
        <v>48</v>
      </c>
      <c r="B53" s="3" t="s">
        <v>181</v>
      </c>
      <c r="C53" s="3">
        <v>2</v>
      </c>
      <c r="D53" s="3" t="s">
        <v>182</v>
      </c>
      <c r="E53" s="3"/>
      <c r="F53" s="3" t="s">
        <v>183</v>
      </c>
      <c r="G53" s="3" t="s">
        <v>50</v>
      </c>
      <c r="I53" t="str" cm="1">
        <f t="array" ref="I53" xml:space="preserve"> IF(AND(A53:G53=""), "NEW", IF(EXACT(F53,S53), "SAME", "SWAPPED"))</f>
        <v>SAME</v>
      </c>
      <c r="J53">
        <f>IF(I53="SAME", Table3[[#This Row],[Qty]]-Table1[[#This Row],[Qty]], Table3[[#This Row],[Qty]])</f>
        <v>0</v>
      </c>
      <c r="K53" t="str">
        <f t="shared" si="0"/>
        <v/>
      </c>
      <c r="M53">
        <v>52</v>
      </c>
      <c r="N53" t="s">
        <v>181</v>
      </c>
      <c r="O53">
        <v>2</v>
      </c>
      <c r="P53" t="s">
        <v>182</v>
      </c>
      <c r="R53" t="str">
        <f>K53</f>
        <v/>
      </c>
      <c r="S53" t="s">
        <v>183</v>
      </c>
      <c r="T53" t="s">
        <v>50</v>
      </c>
    </row>
    <row r="54" spans="1:20" x14ac:dyDescent="0.35">
      <c r="A54" s="3">
        <v>49</v>
      </c>
      <c r="B54" s="3" t="s">
        <v>184</v>
      </c>
      <c r="C54" s="3">
        <v>1</v>
      </c>
      <c r="D54" s="3" t="s">
        <v>185</v>
      </c>
      <c r="E54" s="3"/>
      <c r="F54" s="3" t="s">
        <v>186</v>
      </c>
      <c r="G54" s="3" t="s">
        <v>50</v>
      </c>
      <c r="I54" t="str" cm="1">
        <f t="array" ref="I54" xml:space="preserve"> IF(AND(A54:G54=""), "NEW", IF(EXACT(F54,S54), "SAME", "SWAPPED"))</f>
        <v>SAME</v>
      </c>
      <c r="J54">
        <f>IF(I54="SAME", Table3[[#This Row],[Qty]]-Table1[[#This Row],[Qty]], Table3[[#This Row],[Qty]])</f>
        <v>0</v>
      </c>
      <c r="K54" t="str">
        <f t="shared" si="0"/>
        <v/>
      </c>
      <c r="M54">
        <v>53</v>
      </c>
      <c r="N54" t="s">
        <v>184</v>
      </c>
      <c r="O54">
        <v>1</v>
      </c>
      <c r="P54" t="s">
        <v>185</v>
      </c>
      <c r="R54" t="str">
        <f>K54</f>
        <v/>
      </c>
      <c r="S54" t="s">
        <v>186</v>
      </c>
      <c r="T54" t="s">
        <v>50</v>
      </c>
    </row>
    <row r="55" spans="1:20" x14ac:dyDescent="0.35">
      <c r="A55" s="3">
        <v>50</v>
      </c>
      <c r="B55" s="3" t="s">
        <v>187</v>
      </c>
      <c r="C55" s="3">
        <v>2</v>
      </c>
      <c r="D55" s="3" t="s">
        <v>188</v>
      </c>
      <c r="E55" s="3"/>
      <c r="F55" s="3" t="s">
        <v>189</v>
      </c>
      <c r="G55" s="3" t="s">
        <v>50</v>
      </c>
      <c r="I55" t="str" cm="1">
        <f t="array" ref="I55" xml:space="preserve"> IF(AND(A55:G55=""), "NEW", IF(EXACT(F55,S55), "SAME", "SWAPPED"))</f>
        <v>SAME</v>
      </c>
      <c r="J55">
        <f>IF(I55="SAME", Table3[[#This Row],[Qty]]-Table1[[#This Row],[Qty]], Table3[[#This Row],[Qty]])</f>
        <v>-1</v>
      </c>
      <c r="K55" t="str">
        <f t="shared" si="0"/>
        <v/>
      </c>
      <c r="M55">
        <v>54</v>
      </c>
      <c r="N55" t="s">
        <v>287</v>
      </c>
      <c r="O55">
        <v>1</v>
      </c>
      <c r="P55" t="s">
        <v>188</v>
      </c>
      <c r="R55" t="str">
        <f>K55</f>
        <v/>
      </c>
      <c r="S55" t="s">
        <v>189</v>
      </c>
      <c r="T55" t="s">
        <v>50</v>
      </c>
    </row>
    <row r="56" spans="1:20" x14ac:dyDescent="0.35">
      <c r="A56" s="3">
        <v>51</v>
      </c>
      <c r="B56" s="3" t="s">
        <v>190</v>
      </c>
      <c r="C56" s="3">
        <v>1</v>
      </c>
      <c r="D56" s="3" t="s">
        <v>191</v>
      </c>
      <c r="E56" s="3"/>
      <c r="F56" s="3" t="s">
        <v>193</v>
      </c>
      <c r="G56" s="3" t="s">
        <v>124</v>
      </c>
      <c r="I56" t="str" cm="1">
        <f t="array" ref="I56" xml:space="preserve"> IF(AND(A56:G56=""), "NEW", IF(EXACT(F56,S56), "SAME", "SWAPPED"))</f>
        <v>SAME</v>
      </c>
      <c r="J56">
        <f>IF(I56="SAME", Table3[[#This Row],[Qty]]-Table1[[#This Row],[Qty]], Table3[[#This Row],[Qty]])</f>
        <v>0</v>
      </c>
      <c r="K56" t="str">
        <f t="shared" si="0"/>
        <v/>
      </c>
      <c r="M56">
        <v>55</v>
      </c>
      <c r="N56" t="s">
        <v>190</v>
      </c>
      <c r="O56">
        <v>1</v>
      </c>
      <c r="P56" t="s">
        <v>191</v>
      </c>
      <c r="R56" t="str">
        <f>K56</f>
        <v/>
      </c>
      <c r="S56" t="s">
        <v>193</v>
      </c>
      <c r="T56" t="s">
        <v>124</v>
      </c>
    </row>
    <row r="57" spans="1:20" x14ac:dyDescent="0.35">
      <c r="A57" s="3"/>
      <c r="B57" s="3"/>
      <c r="C57" s="3"/>
      <c r="D57" s="3"/>
      <c r="E57" s="3"/>
      <c r="F57" s="3"/>
      <c r="G57" s="3"/>
      <c r="I57" t="str" cm="1">
        <f t="array" ref="I57" xml:space="preserve"> IF(AND(A57:G57=""), "NEW", IF(EXACT(F57,S57), "SAME", "SWAPPED"))</f>
        <v>NEW</v>
      </c>
      <c r="J57">
        <f>IF(I57="SAME", Table3[[#This Row],[Qty]]-Table1[[#This Row],[Qty]], Table3[[#This Row],[Qty]])</f>
        <v>1</v>
      </c>
      <c r="K57">
        <f t="shared" si="0"/>
        <v>10</v>
      </c>
      <c r="M57">
        <v>56</v>
      </c>
      <c r="N57" t="s">
        <v>286</v>
      </c>
      <c r="O57">
        <v>1</v>
      </c>
      <c r="P57" t="s">
        <v>285</v>
      </c>
      <c r="R57">
        <f>K57</f>
        <v>10</v>
      </c>
      <c r="S57" t="s">
        <v>284</v>
      </c>
      <c r="T57" t="s">
        <v>50</v>
      </c>
    </row>
    <row r="58" spans="1:20" x14ac:dyDescent="0.35">
      <c r="A58" s="3">
        <v>52</v>
      </c>
      <c r="B58" s="3" t="s">
        <v>194</v>
      </c>
      <c r="C58" s="3">
        <v>1</v>
      </c>
      <c r="D58" s="3">
        <v>3.3</v>
      </c>
      <c r="E58" s="3"/>
      <c r="F58" s="3" t="s">
        <v>196</v>
      </c>
      <c r="G58" s="3" t="s">
        <v>197</v>
      </c>
      <c r="I58" t="str" cm="1">
        <f t="array" ref="I58" xml:space="preserve"> IF(AND(A58:G58=""), "NEW", IF(EXACT(F58,S58), "SAME", "SWAPPED"))</f>
        <v>SAME</v>
      </c>
      <c r="J58">
        <f>IF(I58="SAME", Table3[[#This Row],[Qty]]-Table1[[#This Row],[Qty]], Table3[[#This Row],[Qty]])</f>
        <v>0</v>
      </c>
      <c r="K58" t="str">
        <f t="shared" si="0"/>
        <v/>
      </c>
      <c r="M58">
        <v>57</v>
      </c>
      <c r="N58" t="s">
        <v>194</v>
      </c>
      <c r="O58">
        <v>1</v>
      </c>
      <c r="P58">
        <v>3.3</v>
      </c>
      <c r="R58" t="str">
        <f>K58</f>
        <v/>
      </c>
      <c r="S58" t="s">
        <v>196</v>
      </c>
      <c r="T58" t="s">
        <v>197</v>
      </c>
    </row>
    <row r="59" spans="1:20" x14ac:dyDescent="0.35">
      <c r="A59" s="3">
        <v>53</v>
      </c>
      <c r="B59" s="3" t="s">
        <v>198</v>
      </c>
      <c r="C59" s="3">
        <v>10</v>
      </c>
      <c r="D59" s="3" t="s">
        <v>199</v>
      </c>
      <c r="E59" s="3"/>
      <c r="F59" s="3" t="s">
        <v>200</v>
      </c>
      <c r="G59" s="3" t="s">
        <v>50</v>
      </c>
      <c r="I59" t="str" cm="1">
        <f t="array" ref="I59" xml:space="preserve"> IF(AND(A59:G59=""), "NEW", IF(EXACT(F59,S59), "SAME", "SWAPPED"))</f>
        <v>SAME</v>
      </c>
      <c r="J59">
        <f>IF(I59="SAME", Table3[[#This Row],[Qty]]-Table1[[#This Row],[Qty]], Table3[[#This Row],[Qty]])</f>
        <v>1</v>
      </c>
      <c r="K59">
        <f t="shared" si="0"/>
        <v>10</v>
      </c>
      <c r="M59">
        <v>58</v>
      </c>
      <c r="N59" t="s">
        <v>283</v>
      </c>
      <c r="O59">
        <v>11</v>
      </c>
      <c r="P59" t="s">
        <v>199</v>
      </c>
      <c r="R59">
        <f>K59</f>
        <v>10</v>
      </c>
      <c r="S59" t="s">
        <v>200</v>
      </c>
      <c r="T59" t="s">
        <v>50</v>
      </c>
    </row>
    <row r="60" spans="1:20" x14ac:dyDescent="0.35">
      <c r="A60" s="3">
        <v>54</v>
      </c>
      <c r="B60" s="3" t="s">
        <v>201</v>
      </c>
      <c r="C60" s="3">
        <v>1</v>
      </c>
      <c r="D60" s="3" t="s">
        <v>202</v>
      </c>
      <c r="E60" s="3"/>
      <c r="F60" s="3" t="s">
        <v>203</v>
      </c>
      <c r="G60" s="3" t="s">
        <v>50</v>
      </c>
      <c r="I60" t="str" cm="1">
        <f t="array" ref="I60" xml:space="preserve"> IF(AND(A60:G60=""), "NEW", IF(EXACT(F60,S60), "SAME", "SWAPPED"))</f>
        <v>SWAPPED</v>
      </c>
      <c r="J60">
        <f>IF(I60="SAME", Table3[[#This Row],[Qty]]-Table1[[#This Row],[Qty]], Table3[[#This Row],[Qty]])</f>
        <v>1</v>
      </c>
      <c r="K60">
        <f t="shared" si="0"/>
        <v>10</v>
      </c>
      <c r="M60">
        <v>59</v>
      </c>
      <c r="N60" t="s">
        <v>201</v>
      </c>
      <c r="O60">
        <v>1</v>
      </c>
      <c r="P60" t="s">
        <v>282</v>
      </c>
      <c r="R60">
        <f>K60</f>
        <v>10</v>
      </c>
      <c r="S60" t="s">
        <v>281</v>
      </c>
      <c r="T60" t="s">
        <v>50</v>
      </c>
    </row>
    <row r="61" spans="1:20" x14ac:dyDescent="0.35">
      <c r="A61" s="3">
        <v>55</v>
      </c>
      <c r="B61" s="3" t="s">
        <v>204</v>
      </c>
      <c r="C61" s="3">
        <v>1</v>
      </c>
      <c r="D61" s="3" t="s">
        <v>205</v>
      </c>
      <c r="E61" s="3"/>
      <c r="F61" s="3" t="s">
        <v>206</v>
      </c>
      <c r="G61" s="3" t="s">
        <v>50</v>
      </c>
      <c r="I61" t="str" cm="1">
        <f t="array" ref="I61" xml:space="preserve"> IF(AND(A61:G61=""), "NEW", IF(EXACT(F61,S61), "SAME", "SWAPPED"))</f>
        <v>SWAPPED</v>
      </c>
      <c r="J61">
        <f>IF(I61="SAME", Table3[[#This Row],[Qty]]-Table1[[#This Row],[Qty]], Table3[[#This Row],[Qty]])</f>
        <v>1</v>
      </c>
      <c r="K61">
        <f t="shared" si="0"/>
        <v>10</v>
      </c>
      <c r="M61">
        <v>60</v>
      </c>
      <c r="N61" t="s">
        <v>204</v>
      </c>
      <c r="O61">
        <v>1</v>
      </c>
      <c r="P61" t="s">
        <v>280</v>
      </c>
      <c r="R61">
        <f>K61</f>
        <v>10</v>
      </c>
      <c r="S61" t="s">
        <v>279</v>
      </c>
      <c r="T61" t="s">
        <v>50</v>
      </c>
    </row>
    <row r="62" spans="1:20" x14ac:dyDescent="0.35">
      <c r="A62" s="3">
        <v>56</v>
      </c>
      <c r="B62" s="3" t="s">
        <v>207</v>
      </c>
      <c r="C62" s="3">
        <v>2</v>
      </c>
      <c r="D62" s="3" t="s">
        <v>208</v>
      </c>
      <c r="E62" s="3"/>
      <c r="F62" s="3" t="s">
        <v>209</v>
      </c>
      <c r="G62" s="3" t="s">
        <v>50</v>
      </c>
      <c r="I62" t="str" cm="1">
        <f t="array" ref="I62" xml:space="preserve"> IF(AND(A62:G62=""), "NEW", IF(EXACT(F62,S62), "SAME", "SWAPPED"))</f>
        <v>SAME</v>
      </c>
      <c r="J62">
        <f>IF(I62="SAME", Table3[[#This Row],[Qty]]-Table1[[#This Row],[Qty]], Table3[[#This Row],[Qty]])</f>
        <v>0</v>
      </c>
      <c r="K62" t="str">
        <f t="shared" si="0"/>
        <v/>
      </c>
      <c r="M62">
        <v>61</v>
      </c>
      <c r="N62" t="s">
        <v>207</v>
      </c>
      <c r="O62">
        <v>2</v>
      </c>
      <c r="P62" t="s">
        <v>208</v>
      </c>
      <c r="R62" t="str">
        <f>K62</f>
        <v/>
      </c>
      <c r="S62" t="s">
        <v>209</v>
      </c>
      <c r="T62" t="s">
        <v>50</v>
      </c>
    </row>
    <row r="63" spans="1:20" x14ac:dyDescent="0.35">
      <c r="A63" s="3"/>
      <c r="B63" s="3"/>
      <c r="C63" s="3"/>
      <c r="D63" s="3"/>
      <c r="E63" s="3"/>
      <c r="F63" s="3"/>
      <c r="G63" s="3"/>
      <c r="I63" t="str" cm="1">
        <f t="array" ref="I63" xml:space="preserve"> IF(AND(A63:G63=""), "NEW", IF(EXACT(F63,S63), "SAME", "SWAPPED"))</f>
        <v>NEW</v>
      </c>
      <c r="J63">
        <f>IF(I63="SAME", Table3[[#This Row],[Qty]]-Table1[[#This Row],[Qty]], Table3[[#This Row],[Qty]])</f>
        <v>1</v>
      </c>
      <c r="K63">
        <f t="shared" si="0"/>
        <v>10</v>
      </c>
      <c r="M63">
        <v>62</v>
      </c>
      <c r="N63" t="s">
        <v>278</v>
      </c>
      <c r="O63">
        <v>1</v>
      </c>
      <c r="P63">
        <v>300</v>
      </c>
      <c r="R63">
        <f>K63</f>
        <v>10</v>
      </c>
      <c r="S63" t="s">
        <v>277</v>
      </c>
      <c r="T63" t="s">
        <v>156</v>
      </c>
    </row>
    <row r="64" spans="1:20" x14ac:dyDescent="0.35">
      <c r="A64" s="3">
        <v>57</v>
      </c>
      <c r="B64" s="3" t="s">
        <v>210</v>
      </c>
      <c r="C64" s="3">
        <v>2</v>
      </c>
      <c r="D64" s="3" t="s">
        <v>211</v>
      </c>
      <c r="E64" s="3"/>
      <c r="F64" s="3" t="s">
        <v>213</v>
      </c>
      <c r="G64" s="3" t="s">
        <v>214</v>
      </c>
      <c r="I64" t="str" cm="1">
        <f t="array" ref="I64" xml:space="preserve"> IF(AND(A64:G64=""), "NEW", IF(EXACT(F64,S64), "SAME", "SWAPPED"))</f>
        <v>SWAPPED</v>
      </c>
      <c r="J64">
        <f>IF(I64="SAME", Table3[[#This Row],[Qty]]-Table1[[#This Row],[Qty]], Table3[[#This Row],[Qty]])</f>
        <v>2</v>
      </c>
      <c r="K64">
        <f t="shared" si="0"/>
        <v>20</v>
      </c>
      <c r="M64">
        <v>63</v>
      </c>
      <c r="N64" t="s">
        <v>210</v>
      </c>
      <c r="O64">
        <v>2</v>
      </c>
      <c r="P64" t="s">
        <v>276</v>
      </c>
      <c r="R64">
        <f>K64</f>
        <v>20</v>
      </c>
      <c r="S64" t="s">
        <v>274</v>
      </c>
      <c r="T64" t="s">
        <v>214</v>
      </c>
    </row>
    <row r="65" spans="1:20" x14ac:dyDescent="0.35">
      <c r="A65" s="3">
        <v>58</v>
      </c>
      <c r="B65" s="3" t="s">
        <v>215</v>
      </c>
      <c r="C65" s="3">
        <v>3</v>
      </c>
      <c r="D65" s="3">
        <v>5261</v>
      </c>
      <c r="E65" s="3"/>
      <c r="F65" s="3">
        <v>5261</v>
      </c>
      <c r="G65" s="3" t="s">
        <v>217</v>
      </c>
      <c r="I65" t="str" cm="1">
        <f t="array" ref="I65" xml:space="preserve"> IF(AND(A65:G65=""), "NEW", IF(EXACT(F65,S65), "SAME", "SWAPPED"))</f>
        <v>SAME</v>
      </c>
      <c r="J65">
        <f>IF(I65="SAME", Table3[[#This Row],[Qty]]-Table1[[#This Row],[Qty]], Table3[[#This Row],[Qty]])</f>
        <v>-1</v>
      </c>
      <c r="K65" t="str">
        <f t="shared" si="0"/>
        <v/>
      </c>
      <c r="M65">
        <v>64</v>
      </c>
      <c r="N65" t="s">
        <v>273</v>
      </c>
      <c r="O65">
        <v>2</v>
      </c>
      <c r="P65">
        <v>5261</v>
      </c>
      <c r="R65" t="str">
        <f>K65</f>
        <v/>
      </c>
      <c r="S65">
        <v>5261</v>
      </c>
      <c r="T65" t="s">
        <v>217</v>
      </c>
    </row>
    <row r="66" spans="1:20" x14ac:dyDescent="0.35">
      <c r="A66" s="3">
        <v>59</v>
      </c>
      <c r="B66" s="3" t="s">
        <v>218</v>
      </c>
      <c r="C66" s="3">
        <v>21</v>
      </c>
      <c r="D66" s="3" t="s">
        <v>219</v>
      </c>
      <c r="E66" s="3"/>
      <c r="F66" s="3"/>
      <c r="G66" s="3"/>
      <c r="I66" t="str" cm="1">
        <f t="array" ref="I66" xml:space="preserve"> IF(AND(A66:G66=""), "NEW", IF(EXACT(F66,S66), "SAME", "SWAPPED"))</f>
        <v>SAME</v>
      </c>
      <c r="J66">
        <f>IF(I66="SAME", Table3[[#This Row],[Qty]]-Table1[[#This Row],[Qty]], Table3[[#This Row],[Qty]])</f>
        <v>0</v>
      </c>
      <c r="K66" t="str">
        <f t="shared" si="0"/>
        <v/>
      </c>
      <c r="M66">
        <v>65</v>
      </c>
      <c r="N66" t="s">
        <v>218</v>
      </c>
      <c r="O66">
        <v>21</v>
      </c>
      <c r="P66" t="s">
        <v>219</v>
      </c>
      <c r="R66" t="str">
        <f>K66</f>
        <v/>
      </c>
    </row>
    <row r="67" spans="1:20" x14ac:dyDescent="0.35">
      <c r="A67" s="3">
        <v>60</v>
      </c>
      <c r="B67" s="3" t="s">
        <v>221</v>
      </c>
      <c r="C67" s="3">
        <v>1</v>
      </c>
      <c r="D67" s="3" t="s">
        <v>222</v>
      </c>
      <c r="E67" s="3"/>
      <c r="F67" s="3" t="s">
        <v>222</v>
      </c>
      <c r="G67" s="3" t="s">
        <v>224</v>
      </c>
      <c r="I67" t="str" cm="1">
        <f t="array" ref="I67" xml:space="preserve"> IF(AND(A67:G67=""), "NEW", IF(EXACT(F67,S67), "SAME", "SWAPPED"))</f>
        <v>SAME</v>
      </c>
      <c r="J67">
        <f>IF(I67="SAME", Table3[[#This Row],[Qty]]-Table1[[#This Row],[Qty]], Table3[[#This Row],[Qty]])</f>
        <v>0</v>
      </c>
      <c r="K67" t="str">
        <f t="shared" ref="K67:K81" si="1">IF(J67&gt;0, J67*10, "")</f>
        <v/>
      </c>
      <c r="M67">
        <v>66</v>
      </c>
      <c r="N67" t="s">
        <v>221</v>
      </c>
      <c r="O67">
        <v>1</v>
      </c>
      <c r="P67" t="s">
        <v>222</v>
      </c>
      <c r="R67" t="str">
        <f>K67</f>
        <v/>
      </c>
      <c r="S67" t="s">
        <v>222</v>
      </c>
      <c r="T67" t="s">
        <v>224</v>
      </c>
    </row>
    <row r="68" spans="1:20" x14ac:dyDescent="0.35">
      <c r="A68" s="3">
        <v>61</v>
      </c>
      <c r="B68" s="3" t="s">
        <v>225</v>
      </c>
      <c r="C68" s="3">
        <v>1</v>
      </c>
      <c r="D68" s="3" t="s">
        <v>226</v>
      </c>
      <c r="E68" s="3"/>
      <c r="F68" s="3" t="s">
        <v>226</v>
      </c>
      <c r="G68" s="3" t="s">
        <v>224</v>
      </c>
      <c r="I68" t="str" cm="1">
        <f t="array" ref="I68" xml:space="preserve"> IF(AND(A68:G68=""), "NEW", IF(EXACT(F68,S68), "SAME", "SWAPPED"))</f>
        <v>SAME</v>
      </c>
      <c r="J68">
        <f>IF(I68="SAME", Table3[[#This Row],[Qty]]-Table1[[#This Row],[Qty]], Table3[[#This Row],[Qty]])</f>
        <v>0</v>
      </c>
      <c r="K68" t="str">
        <f t="shared" si="1"/>
        <v/>
      </c>
      <c r="M68">
        <v>67</v>
      </c>
      <c r="N68" t="s">
        <v>225</v>
      </c>
      <c r="O68">
        <v>1</v>
      </c>
      <c r="P68" t="s">
        <v>226</v>
      </c>
      <c r="R68" t="str">
        <f>K68</f>
        <v/>
      </c>
      <c r="S68" t="s">
        <v>226</v>
      </c>
      <c r="T68" t="s">
        <v>224</v>
      </c>
    </row>
    <row r="69" spans="1:20" x14ac:dyDescent="0.35">
      <c r="A69" s="3">
        <v>62</v>
      </c>
      <c r="B69" s="3" t="s">
        <v>228</v>
      </c>
      <c r="C69" s="3">
        <v>1</v>
      </c>
      <c r="D69" s="3" t="s">
        <v>229</v>
      </c>
      <c r="E69" s="3"/>
      <c r="F69" s="3" t="s">
        <v>229</v>
      </c>
      <c r="G69" s="3" t="s">
        <v>231</v>
      </c>
      <c r="I69" t="str" cm="1">
        <f t="array" ref="I69" xml:space="preserve"> IF(AND(A69:G69=""), "NEW", IF(EXACT(F69,S69), "SAME", "SWAPPED"))</f>
        <v>SAME</v>
      </c>
      <c r="J69">
        <f>IF(I69="SAME", Table3[[#This Row],[Qty]]-Table1[[#This Row],[Qty]], Table3[[#This Row],[Qty]])</f>
        <v>0</v>
      </c>
      <c r="K69" t="str">
        <f t="shared" si="1"/>
        <v/>
      </c>
      <c r="M69">
        <v>68</v>
      </c>
      <c r="N69" t="s">
        <v>228</v>
      </c>
      <c r="O69">
        <v>1</v>
      </c>
      <c r="P69" t="s">
        <v>229</v>
      </c>
      <c r="R69" t="str">
        <f>K69</f>
        <v/>
      </c>
      <c r="S69" t="s">
        <v>229</v>
      </c>
      <c r="T69" t="s">
        <v>231</v>
      </c>
    </row>
    <row r="70" spans="1:20" x14ac:dyDescent="0.35">
      <c r="A70" s="3">
        <v>63</v>
      </c>
      <c r="B70" s="3" t="s">
        <v>232</v>
      </c>
      <c r="C70" s="3">
        <v>1</v>
      </c>
      <c r="D70" s="3" t="s">
        <v>233</v>
      </c>
      <c r="E70" s="3"/>
      <c r="F70" s="3" t="s">
        <v>233</v>
      </c>
      <c r="G70" s="3" t="s">
        <v>235</v>
      </c>
      <c r="I70" t="str" cm="1">
        <f t="array" ref="I70" xml:space="preserve"> IF(AND(A70:G70=""), "NEW", IF(EXACT(F70,S70), "SAME", "SWAPPED"))</f>
        <v>SAME</v>
      </c>
      <c r="J70">
        <f>IF(I70="SAME", Table3[[#This Row],[Qty]]-Table1[[#This Row],[Qty]], Table3[[#This Row],[Qty]])</f>
        <v>0</v>
      </c>
      <c r="K70" t="str">
        <f t="shared" si="1"/>
        <v/>
      </c>
      <c r="M70">
        <v>69</v>
      </c>
      <c r="N70" t="s">
        <v>232</v>
      </c>
      <c r="O70">
        <v>1</v>
      </c>
      <c r="P70" t="s">
        <v>233</v>
      </c>
      <c r="R70" t="str">
        <f>K70</f>
        <v/>
      </c>
      <c r="S70" t="s">
        <v>233</v>
      </c>
      <c r="T70" t="s">
        <v>235</v>
      </c>
    </row>
    <row r="71" spans="1:20" x14ac:dyDescent="0.35">
      <c r="A71" s="3">
        <v>64</v>
      </c>
      <c r="B71" s="3" t="s">
        <v>236</v>
      </c>
      <c r="C71" s="3">
        <v>1</v>
      </c>
      <c r="D71" s="3" t="s">
        <v>237</v>
      </c>
      <c r="E71" s="3"/>
      <c r="F71" s="3" t="s">
        <v>237</v>
      </c>
      <c r="G71" s="3" t="s">
        <v>140</v>
      </c>
      <c r="I71" t="str" cm="1">
        <f t="array" ref="I71" xml:space="preserve"> IF(AND(A71:G71=""), "NEW", IF(EXACT(F71,S71), "SAME", "SWAPPED"))</f>
        <v>SAME</v>
      </c>
      <c r="J71">
        <f>IF(I71="SAME", Table3[[#This Row],[Qty]]-Table1[[#This Row],[Qty]], Table3[[#This Row],[Qty]])</f>
        <v>0</v>
      </c>
      <c r="K71" t="str">
        <f t="shared" si="1"/>
        <v/>
      </c>
      <c r="M71">
        <v>70</v>
      </c>
      <c r="N71" t="s">
        <v>236</v>
      </c>
      <c r="O71">
        <v>1</v>
      </c>
      <c r="P71" t="s">
        <v>237</v>
      </c>
      <c r="R71" t="str">
        <f>K71</f>
        <v/>
      </c>
      <c r="S71" t="s">
        <v>237</v>
      </c>
      <c r="T71" t="s">
        <v>140</v>
      </c>
    </row>
    <row r="72" spans="1:20" x14ac:dyDescent="0.35">
      <c r="A72" s="3">
        <v>65</v>
      </c>
      <c r="B72" s="3" t="s">
        <v>239</v>
      </c>
      <c r="C72" s="3">
        <v>1</v>
      </c>
      <c r="D72" s="3" t="s">
        <v>240</v>
      </c>
      <c r="E72" s="3"/>
      <c r="F72" s="3" t="s">
        <v>242</v>
      </c>
      <c r="G72" s="3" t="s">
        <v>243</v>
      </c>
      <c r="I72" t="str" cm="1">
        <f t="array" ref="I72" xml:space="preserve"> IF(AND(A72:G72=""), "NEW", IF(EXACT(F72,S72), "SAME", "SWAPPED"))</f>
        <v>SAME</v>
      </c>
      <c r="J72">
        <f>IF(I72="SAME", Table3[[#This Row],[Qty]]-Table1[[#This Row],[Qty]], Table3[[#This Row],[Qty]])</f>
        <v>0</v>
      </c>
      <c r="K72" t="str">
        <f t="shared" si="1"/>
        <v/>
      </c>
      <c r="M72">
        <v>71</v>
      </c>
      <c r="N72" t="s">
        <v>239</v>
      </c>
      <c r="O72">
        <v>1</v>
      </c>
      <c r="P72" t="s">
        <v>240</v>
      </c>
      <c r="R72" t="str">
        <f>K72</f>
        <v/>
      </c>
      <c r="S72" t="s">
        <v>242</v>
      </c>
      <c r="T72" t="s">
        <v>243</v>
      </c>
    </row>
    <row r="73" spans="1:20" x14ac:dyDescent="0.35">
      <c r="A73" s="3">
        <v>66</v>
      </c>
      <c r="B73" s="3" t="s">
        <v>244</v>
      </c>
      <c r="C73" s="3">
        <v>1</v>
      </c>
      <c r="D73" s="3" t="s">
        <v>245</v>
      </c>
      <c r="E73" s="3"/>
      <c r="F73" s="3" t="s">
        <v>245</v>
      </c>
      <c r="G73" s="3" t="s">
        <v>224</v>
      </c>
      <c r="I73" t="str" cm="1">
        <f t="array" ref="I73" xml:space="preserve"> IF(AND(A73:G73=""), "NEW", IF(EXACT(F73,S73), "SAME", "SWAPPED"))</f>
        <v>SAME</v>
      </c>
      <c r="J73">
        <f>IF(I73="SAME", Table3[[#This Row],[Qty]]-Table1[[#This Row],[Qty]], Table3[[#This Row],[Qty]])</f>
        <v>0</v>
      </c>
      <c r="K73" t="str">
        <f t="shared" si="1"/>
        <v/>
      </c>
      <c r="M73">
        <v>72</v>
      </c>
      <c r="N73" t="s">
        <v>244</v>
      </c>
      <c r="O73">
        <v>1</v>
      </c>
      <c r="P73" t="s">
        <v>245</v>
      </c>
      <c r="R73" t="str">
        <f>K73</f>
        <v/>
      </c>
      <c r="S73" t="s">
        <v>245</v>
      </c>
      <c r="T73" t="s">
        <v>224</v>
      </c>
    </row>
    <row r="74" spans="1:20" x14ac:dyDescent="0.35">
      <c r="A74" s="3">
        <v>67</v>
      </c>
      <c r="B74" s="3" t="s">
        <v>247</v>
      </c>
      <c r="C74" s="3">
        <v>1</v>
      </c>
      <c r="D74" s="3" t="s">
        <v>248</v>
      </c>
      <c r="E74" s="3"/>
      <c r="F74" s="3" t="s">
        <v>248</v>
      </c>
      <c r="G74" s="3" t="s">
        <v>250</v>
      </c>
      <c r="I74" t="str" cm="1">
        <f t="array" ref="I74" xml:space="preserve"> IF(AND(A74:G74=""), "NEW", IF(EXACT(F74,S74), "SAME", "SWAPPED"))</f>
        <v>SAME</v>
      </c>
      <c r="J74">
        <f>IF(I74="SAME", Table3[[#This Row],[Qty]]-Table1[[#This Row],[Qty]], Table3[[#This Row],[Qty]])</f>
        <v>0</v>
      </c>
      <c r="K74" t="str">
        <f t="shared" si="1"/>
        <v/>
      </c>
      <c r="M74">
        <v>73</v>
      </c>
      <c r="N74" t="s">
        <v>247</v>
      </c>
      <c r="O74">
        <v>1</v>
      </c>
      <c r="P74" t="s">
        <v>248</v>
      </c>
      <c r="R74" t="str">
        <f>K74</f>
        <v/>
      </c>
      <c r="S74" t="s">
        <v>248</v>
      </c>
      <c r="T74" t="s">
        <v>250</v>
      </c>
    </row>
    <row r="75" spans="1:20" x14ac:dyDescent="0.35">
      <c r="A75" s="3">
        <v>68</v>
      </c>
      <c r="B75" s="3" t="s">
        <v>251</v>
      </c>
      <c r="C75" s="3">
        <v>1</v>
      </c>
      <c r="D75" s="3" t="s">
        <v>252</v>
      </c>
      <c r="E75" s="3"/>
      <c r="F75" s="3" t="s">
        <v>252</v>
      </c>
      <c r="G75" s="3" t="s">
        <v>250</v>
      </c>
      <c r="I75" t="str" cm="1">
        <f t="array" ref="I75" xml:space="preserve"> IF(AND(A75:G75=""), "NEW", IF(EXACT(F75,S75), "SAME", "SWAPPED"))</f>
        <v>SAME</v>
      </c>
      <c r="J75">
        <f>IF(I75="SAME", Table3[[#This Row],[Qty]]-Table1[[#This Row],[Qty]], Table3[[#This Row],[Qty]])</f>
        <v>0</v>
      </c>
      <c r="K75" t="str">
        <f t="shared" si="1"/>
        <v/>
      </c>
      <c r="M75">
        <v>74</v>
      </c>
      <c r="N75" t="s">
        <v>251</v>
      </c>
      <c r="O75">
        <v>1</v>
      </c>
      <c r="P75" t="s">
        <v>252</v>
      </c>
      <c r="R75" t="str">
        <f>K75</f>
        <v/>
      </c>
      <c r="S75" t="s">
        <v>252</v>
      </c>
      <c r="T75" t="s">
        <v>250</v>
      </c>
    </row>
    <row r="76" spans="1:20" x14ac:dyDescent="0.35">
      <c r="A76" s="3"/>
      <c r="B76" s="3"/>
      <c r="C76" s="3"/>
      <c r="D76" s="3"/>
      <c r="E76" s="3"/>
      <c r="F76" s="3"/>
      <c r="G76" s="3"/>
      <c r="I76" t="str" cm="1">
        <f t="array" ref="I76" xml:space="preserve"> IF(AND(A76:G76=""), "NEW", IF(EXACT(F76,S76), "SAME", "SWAPPED"))</f>
        <v>NEW</v>
      </c>
      <c r="J76">
        <f>IF(I76="SAME", Table3[[#This Row],[Qty]]-Table1[[#This Row],[Qty]], Table3[[#This Row],[Qty]])</f>
        <v>1</v>
      </c>
      <c r="K76">
        <f t="shared" si="1"/>
        <v>10</v>
      </c>
      <c r="M76">
        <v>75</v>
      </c>
      <c r="N76" t="s">
        <v>272</v>
      </c>
      <c r="O76">
        <v>1</v>
      </c>
      <c r="P76" t="s">
        <v>270</v>
      </c>
      <c r="R76">
        <f>K76</f>
        <v>10</v>
      </c>
      <c r="S76" t="s">
        <v>270</v>
      </c>
      <c r="T76" t="s">
        <v>140</v>
      </c>
    </row>
    <row r="77" spans="1:20" x14ac:dyDescent="0.35">
      <c r="A77" s="3"/>
      <c r="B77" s="3"/>
      <c r="C77" s="3"/>
      <c r="D77" s="3"/>
      <c r="E77" s="3"/>
      <c r="F77" s="3"/>
      <c r="G77" s="3"/>
      <c r="I77" t="str" cm="1">
        <f t="array" ref="I77" xml:space="preserve"> IF(AND(A77:G77=""), "NEW", IF(EXACT(F77,S77), "SAME", "SWAPPED"))</f>
        <v>NEW</v>
      </c>
      <c r="J77">
        <f>IF(I77="SAME", Table3[[#This Row],[Qty]]-Table1[[#This Row],[Qty]], Table3[[#This Row],[Qty]])</f>
        <v>2</v>
      </c>
      <c r="K77">
        <f t="shared" si="1"/>
        <v>20</v>
      </c>
      <c r="M77">
        <v>76</v>
      </c>
      <c r="N77" t="s">
        <v>269</v>
      </c>
      <c r="O77">
        <v>2</v>
      </c>
      <c r="P77" t="s">
        <v>267</v>
      </c>
      <c r="R77">
        <f>K77</f>
        <v>20</v>
      </c>
      <c r="S77" t="s">
        <v>267</v>
      </c>
      <c r="T77" t="s">
        <v>224</v>
      </c>
    </row>
    <row r="78" spans="1:20" x14ac:dyDescent="0.35">
      <c r="A78" s="3"/>
      <c r="B78" s="3"/>
      <c r="C78" s="3"/>
      <c r="D78" s="3"/>
      <c r="E78" s="3"/>
      <c r="F78" s="3"/>
      <c r="G78" s="3"/>
      <c r="I78" t="str" cm="1">
        <f t="array" ref="I78" xml:space="preserve"> IF(AND(A78:G78=""), "NEW", IF(EXACT(F78,S78), "SAME", "SWAPPED"))</f>
        <v>NEW</v>
      </c>
      <c r="J78">
        <f>IF(I78="SAME", Table3[[#This Row],[Qty]]-Table1[[#This Row],[Qty]], Table3[[#This Row],[Qty]])</f>
        <v>1</v>
      </c>
      <c r="K78">
        <f t="shared" si="1"/>
        <v>10</v>
      </c>
      <c r="M78">
        <v>77</v>
      </c>
      <c r="N78" t="s">
        <v>266</v>
      </c>
      <c r="O78">
        <v>1</v>
      </c>
      <c r="P78" t="s">
        <v>264</v>
      </c>
      <c r="R78">
        <f>K78</f>
        <v>10</v>
      </c>
      <c r="S78" t="s">
        <v>264</v>
      </c>
      <c r="T78" t="s">
        <v>140</v>
      </c>
    </row>
    <row r="79" spans="1:20" x14ac:dyDescent="0.35">
      <c r="A79" s="3">
        <v>69</v>
      </c>
      <c r="B79" s="3" t="s">
        <v>254</v>
      </c>
      <c r="C79" s="3">
        <v>1</v>
      </c>
      <c r="D79" s="3" t="s">
        <v>255</v>
      </c>
      <c r="E79" s="3"/>
      <c r="F79" s="3" t="s">
        <v>255</v>
      </c>
      <c r="G79" s="3" t="s">
        <v>257</v>
      </c>
      <c r="I79" t="str" cm="1">
        <f t="array" ref="I79" xml:space="preserve"> IF(AND(A79:G79=""), "NEW", IF(EXACT(F79,S79), "SAME", "SWAPPED"))</f>
        <v>SAME</v>
      </c>
      <c r="J79">
        <f>IF(I79="SAME", Table3[[#This Row],[Qty]]-Table1[[#This Row],[Qty]], Table3[[#This Row],[Qty]])</f>
        <v>0</v>
      </c>
      <c r="K79" t="str">
        <f t="shared" si="1"/>
        <v/>
      </c>
      <c r="M79">
        <v>78</v>
      </c>
      <c r="N79" t="s">
        <v>254</v>
      </c>
      <c r="O79">
        <v>1</v>
      </c>
      <c r="P79" t="s">
        <v>255</v>
      </c>
      <c r="R79" t="str">
        <f>K79</f>
        <v/>
      </c>
      <c r="S79" t="s">
        <v>255</v>
      </c>
      <c r="T79" t="s">
        <v>257</v>
      </c>
    </row>
    <row r="80" spans="1:20" x14ac:dyDescent="0.35">
      <c r="A80" s="3">
        <v>70</v>
      </c>
      <c r="B80" s="3" t="s">
        <v>258</v>
      </c>
      <c r="C80" s="3">
        <v>1</v>
      </c>
      <c r="D80" s="3" t="s">
        <v>259</v>
      </c>
      <c r="E80" s="3"/>
      <c r="F80" s="3" t="s">
        <v>259</v>
      </c>
      <c r="G80" s="3" t="s">
        <v>19</v>
      </c>
      <c r="I80" t="str" cm="1">
        <f t="array" ref="I80" xml:space="preserve"> IF(AND(A80:G80=""), "NEW", IF(EXACT(F80,S80), "SAME", "SWAPPED"))</f>
        <v>SAME</v>
      </c>
      <c r="J80">
        <f>IF(I80="SAME", Table3[[#This Row],[Qty]]-Table1[[#This Row],[Qty]], Table3[[#This Row],[Qty]])</f>
        <v>0</v>
      </c>
      <c r="K80" t="str">
        <f t="shared" si="1"/>
        <v/>
      </c>
      <c r="M80">
        <v>79</v>
      </c>
      <c r="N80" t="s">
        <v>258</v>
      </c>
      <c r="O80">
        <v>1</v>
      </c>
      <c r="P80" t="s">
        <v>259</v>
      </c>
      <c r="R80" t="str">
        <f>K80</f>
        <v/>
      </c>
      <c r="S80" t="s">
        <v>259</v>
      </c>
      <c r="T80" t="s">
        <v>19</v>
      </c>
    </row>
    <row r="81" spans="1:20" x14ac:dyDescent="0.35">
      <c r="A81" s="1">
        <v>71</v>
      </c>
      <c r="B81" s="1" t="s">
        <v>261</v>
      </c>
      <c r="C81" s="1">
        <v>12</v>
      </c>
      <c r="D81" s="1" t="s">
        <v>262</v>
      </c>
      <c r="E81" s="1"/>
      <c r="F81" s="1" t="s">
        <v>262</v>
      </c>
      <c r="G81" s="1" t="s">
        <v>140</v>
      </c>
      <c r="I81" t="str" cm="1">
        <f t="array" ref="I81" xml:space="preserve"> IF(AND(A81:G81=""), "NEW", IF(EXACT(F81,S81), "SAME", "SWAPPED"))</f>
        <v>SAME</v>
      </c>
      <c r="J81">
        <f>IF(I81="SAME", Table3[[#This Row],[Qty]]-Table1[[#This Row],[Qty]], Table3[[#This Row],[Qty]])</f>
        <v>0</v>
      </c>
      <c r="K81" t="str">
        <f t="shared" si="1"/>
        <v/>
      </c>
      <c r="M81">
        <v>80</v>
      </c>
      <c r="N81" t="s">
        <v>261</v>
      </c>
      <c r="O81">
        <v>12</v>
      </c>
      <c r="P81" t="s">
        <v>262</v>
      </c>
      <c r="R81" t="str">
        <f>K81</f>
        <v/>
      </c>
      <c r="S81" t="s">
        <v>262</v>
      </c>
      <c r="T81" t="s">
        <v>140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bms-board-rev-A</vt:lpstr>
      <vt:lpstr>bms-board-rev-B</vt:lpstr>
      <vt:lpstr>bom-compare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Friedman</cp:lastModifiedBy>
  <dcterms:created xsi:type="dcterms:W3CDTF">2026-05-07T03:07:20Z</dcterms:created>
  <dcterms:modified xsi:type="dcterms:W3CDTF">2026-05-07T05:03:44Z</dcterms:modified>
</cp:coreProperties>
</file>